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lachlandow\Downloads\"/>
    </mc:Choice>
  </mc:AlternateContent>
  <bookViews>
    <workbookView xWindow="0" yWindow="0" windowWidth="21570" windowHeight="8055" tabRatio="620" activeTab="2"/>
  </bookViews>
  <sheets>
    <sheet name="Sprint" sheetId="7" r:id="rId1"/>
    <sheet name="Analysis" sheetId="8" r:id="rId2"/>
    <sheet name="Team Roster" sheetId="5" r:id="rId3"/>
  </sheets>
  <definedNames>
    <definedName name="_xlnm._FilterDatabase" localSheetId="0" hidden="1">Sprint!$C$3:$BD$64</definedName>
    <definedName name="Burndown" localSheetId="1">Sprint!$J$6:$BC$65</definedName>
    <definedName name="Burndown">Sprint!$J$6:$BC$65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#REF!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Sprint!$J$1:$BC$1</definedName>
    <definedName name="SprintDates">Sprint!$J$1:$BC$1</definedName>
    <definedName name="SprintStart">#REF!</definedName>
    <definedName name="Start_Date">#REF!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Sprint!$BD$6:$BD$65</definedName>
    <definedName name="TotalEffort">Sprint!$BD$6:$BD$65</definedName>
    <definedName name="Worktype">#REF!</definedName>
  </definedNames>
  <calcPr calcId="162913" concurrentCalc="0"/>
</workbook>
</file>

<file path=xl/calcChain.xml><?xml version="1.0" encoding="utf-8"?>
<calcChain xmlns="http://schemas.openxmlformats.org/spreadsheetml/2006/main">
  <c r="G1" i="7" l="1"/>
  <c r="J1" i="7"/>
  <c r="K7" i="7"/>
  <c r="L7" i="7"/>
  <c r="N7" i="7"/>
  <c r="O7" i="7"/>
  <c r="Q7" i="7"/>
  <c r="R7" i="7"/>
  <c r="T7" i="7"/>
  <c r="U7" i="7"/>
  <c r="W7" i="7"/>
  <c r="X7" i="7"/>
  <c r="BD7" i="7"/>
  <c r="Z7" i="7"/>
  <c r="BB7" i="7"/>
  <c r="AC7" i="7"/>
  <c r="AF7" i="7"/>
  <c r="AI7" i="7"/>
  <c r="AL7" i="7"/>
  <c r="AO7" i="7"/>
  <c r="AR7" i="7"/>
  <c r="AU7" i="7"/>
  <c r="AX7" i="7"/>
  <c r="BA7" i="7"/>
  <c r="AY7" i="7"/>
  <c r="AV7" i="7"/>
  <c r="AS7" i="7"/>
  <c r="AP7" i="7"/>
  <c r="AM7" i="7"/>
  <c r="AJ7" i="7"/>
  <c r="AG7" i="7"/>
  <c r="AD7" i="7"/>
  <c r="AA7" i="7"/>
  <c r="K4" i="7"/>
  <c r="L4" i="7"/>
  <c r="N4" i="7"/>
  <c r="O4" i="7"/>
  <c r="Q4" i="7"/>
  <c r="R4" i="7"/>
  <c r="T4" i="7"/>
  <c r="U4" i="7"/>
  <c r="W4" i="7"/>
  <c r="X4" i="7"/>
  <c r="BD4" i="7"/>
  <c r="Z4" i="7"/>
  <c r="BB4" i="7"/>
  <c r="AC4" i="7"/>
  <c r="AF4" i="7"/>
  <c r="AI4" i="7"/>
  <c r="AL4" i="7"/>
  <c r="AO4" i="7"/>
  <c r="AR4" i="7"/>
  <c r="AU4" i="7"/>
  <c r="AX4" i="7"/>
  <c r="BA4" i="7"/>
  <c r="AY4" i="7"/>
  <c r="AV4" i="7"/>
  <c r="AS4" i="7"/>
  <c r="AP4" i="7"/>
  <c r="AM4" i="7"/>
  <c r="AJ4" i="7"/>
  <c r="AG4" i="7"/>
  <c r="AD4" i="7"/>
  <c r="AA4" i="7"/>
  <c r="K5" i="7"/>
  <c r="L5" i="7"/>
  <c r="N5" i="7"/>
  <c r="O5" i="7"/>
  <c r="Q5" i="7"/>
  <c r="R5" i="7"/>
  <c r="T5" i="7"/>
  <c r="U5" i="7"/>
  <c r="W5" i="7"/>
  <c r="X5" i="7"/>
  <c r="BD5" i="7"/>
  <c r="Z5" i="7"/>
  <c r="BB5" i="7"/>
  <c r="AC5" i="7"/>
  <c r="AF5" i="7"/>
  <c r="AI5" i="7"/>
  <c r="AL5" i="7"/>
  <c r="AO5" i="7"/>
  <c r="AR5" i="7"/>
  <c r="AU5" i="7"/>
  <c r="AX5" i="7"/>
  <c r="BA5" i="7"/>
  <c r="AY5" i="7"/>
  <c r="AV5" i="7"/>
  <c r="AS5" i="7"/>
  <c r="AP5" i="7"/>
  <c r="AM5" i="7"/>
  <c r="AJ5" i="7"/>
  <c r="AG5" i="7"/>
  <c r="AD5" i="7"/>
  <c r="AA5" i="7"/>
  <c r="Z63" i="7"/>
  <c r="AC63" i="7"/>
  <c r="AF63" i="7"/>
  <c r="AI63" i="7"/>
  <c r="AL63" i="7"/>
  <c r="AO63" i="7"/>
  <c r="AR63" i="7"/>
  <c r="AU63" i="7"/>
  <c r="AX63" i="7"/>
  <c r="BA63" i="7"/>
  <c r="K63" i="7"/>
  <c r="L63" i="7"/>
  <c r="Z62" i="7"/>
  <c r="AC62" i="7"/>
  <c r="AF62" i="7"/>
  <c r="AI62" i="7"/>
  <c r="AL62" i="7"/>
  <c r="AO62" i="7"/>
  <c r="AR62" i="7"/>
  <c r="AU62" i="7"/>
  <c r="AX62" i="7"/>
  <c r="BA62" i="7"/>
  <c r="K62" i="7"/>
  <c r="L62" i="7"/>
  <c r="Z61" i="7"/>
  <c r="AC61" i="7"/>
  <c r="AF61" i="7"/>
  <c r="AI61" i="7"/>
  <c r="AL61" i="7"/>
  <c r="AO61" i="7"/>
  <c r="AR61" i="7"/>
  <c r="AU61" i="7"/>
  <c r="AX61" i="7"/>
  <c r="BA61" i="7"/>
  <c r="K61" i="7"/>
  <c r="L61" i="7"/>
  <c r="Z60" i="7"/>
  <c r="AC60" i="7"/>
  <c r="AF60" i="7"/>
  <c r="AI60" i="7"/>
  <c r="AL60" i="7"/>
  <c r="AO60" i="7"/>
  <c r="AR60" i="7"/>
  <c r="AU60" i="7"/>
  <c r="AX60" i="7"/>
  <c r="BA60" i="7"/>
  <c r="K60" i="7"/>
  <c r="L60" i="7"/>
  <c r="Z59" i="7"/>
  <c r="AC59" i="7"/>
  <c r="AF59" i="7"/>
  <c r="AI59" i="7"/>
  <c r="AL59" i="7"/>
  <c r="AO59" i="7"/>
  <c r="AR59" i="7"/>
  <c r="AU59" i="7"/>
  <c r="AX59" i="7"/>
  <c r="BA59" i="7"/>
  <c r="K59" i="7"/>
  <c r="L59" i="7"/>
  <c r="Z58" i="7"/>
  <c r="AC58" i="7"/>
  <c r="AF58" i="7"/>
  <c r="AI58" i="7"/>
  <c r="AL58" i="7"/>
  <c r="AO58" i="7"/>
  <c r="AR58" i="7"/>
  <c r="AU58" i="7"/>
  <c r="AX58" i="7"/>
  <c r="BA58" i="7"/>
  <c r="K58" i="7"/>
  <c r="L58" i="7"/>
  <c r="Z57" i="7"/>
  <c r="AC57" i="7"/>
  <c r="AF57" i="7"/>
  <c r="AI57" i="7"/>
  <c r="AL57" i="7"/>
  <c r="AO57" i="7"/>
  <c r="AR57" i="7"/>
  <c r="AU57" i="7"/>
  <c r="AX57" i="7"/>
  <c r="BA57" i="7"/>
  <c r="K57" i="7"/>
  <c r="L57" i="7"/>
  <c r="Z56" i="7"/>
  <c r="AC56" i="7"/>
  <c r="AF56" i="7"/>
  <c r="AI56" i="7"/>
  <c r="AL56" i="7"/>
  <c r="AO56" i="7"/>
  <c r="AR56" i="7"/>
  <c r="AU56" i="7"/>
  <c r="AX56" i="7"/>
  <c r="BA56" i="7"/>
  <c r="K56" i="7"/>
  <c r="L56" i="7"/>
  <c r="Z55" i="7"/>
  <c r="AC55" i="7"/>
  <c r="AF55" i="7"/>
  <c r="AI55" i="7"/>
  <c r="AL55" i="7"/>
  <c r="AO55" i="7"/>
  <c r="AR55" i="7"/>
  <c r="AU55" i="7"/>
  <c r="AX55" i="7"/>
  <c r="BA55" i="7"/>
  <c r="K55" i="7"/>
  <c r="L55" i="7"/>
  <c r="Z54" i="7"/>
  <c r="AC54" i="7"/>
  <c r="AF54" i="7"/>
  <c r="AI54" i="7"/>
  <c r="AL54" i="7"/>
  <c r="AO54" i="7"/>
  <c r="AR54" i="7"/>
  <c r="AU54" i="7"/>
  <c r="AX54" i="7"/>
  <c r="BA54" i="7"/>
  <c r="K54" i="7"/>
  <c r="L54" i="7"/>
  <c r="Z53" i="7"/>
  <c r="AC53" i="7"/>
  <c r="AF53" i="7"/>
  <c r="AI53" i="7"/>
  <c r="AL53" i="7"/>
  <c r="AO53" i="7"/>
  <c r="AR53" i="7"/>
  <c r="AU53" i="7"/>
  <c r="AX53" i="7"/>
  <c r="BA53" i="7"/>
  <c r="K53" i="7"/>
  <c r="L53" i="7"/>
  <c r="Z52" i="7"/>
  <c r="AC52" i="7"/>
  <c r="AF52" i="7"/>
  <c r="AI52" i="7"/>
  <c r="AL52" i="7"/>
  <c r="AO52" i="7"/>
  <c r="AR52" i="7"/>
  <c r="AU52" i="7"/>
  <c r="AX52" i="7"/>
  <c r="BA52" i="7"/>
  <c r="K52" i="7"/>
  <c r="L52" i="7"/>
  <c r="Z51" i="7"/>
  <c r="AC51" i="7"/>
  <c r="AF51" i="7"/>
  <c r="AI51" i="7"/>
  <c r="AL51" i="7"/>
  <c r="AO51" i="7"/>
  <c r="AR51" i="7"/>
  <c r="AU51" i="7"/>
  <c r="AX51" i="7"/>
  <c r="BA51" i="7"/>
  <c r="K51" i="7"/>
  <c r="L51" i="7"/>
  <c r="Z50" i="7"/>
  <c r="AC50" i="7"/>
  <c r="AF50" i="7"/>
  <c r="AI50" i="7"/>
  <c r="AL50" i="7"/>
  <c r="AO50" i="7"/>
  <c r="AR50" i="7"/>
  <c r="AU50" i="7"/>
  <c r="AX50" i="7"/>
  <c r="BA50" i="7"/>
  <c r="K50" i="7"/>
  <c r="L50" i="7"/>
  <c r="Z49" i="7"/>
  <c r="AC49" i="7"/>
  <c r="AF49" i="7"/>
  <c r="AI49" i="7"/>
  <c r="AL49" i="7"/>
  <c r="AO49" i="7"/>
  <c r="AR49" i="7"/>
  <c r="AU49" i="7"/>
  <c r="AX49" i="7"/>
  <c r="BA49" i="7"/>
  <c r="K49" i="7"/>
  <c r="L49" i="7"/>
  <c r="Z48" i="7"/>
  <c r="AC48" i="7"/>
  <c r="AF48" i="7"/>
  <c r="AI48" i="7"/>
  <c r="AL48" i="7"/>
  <c r="AO48" i="7"/>
  <c r="AR48" i="7"/>
  <c r="AU48" i="7"/>
  <c r="AX48" i="7"/>
  <c r="BA48" i="7"/>
  <c r="K48" i="7"/>
  <c r="L48" i="7"/>
  <c r="Z47" i="7"/>
  <c r="AC47" i="7"/>
  <c r="AF47" i="7"/>
  <c r="AI47" i="7"/>
  <c r="AL47" i="7"/>
  <c r="AO47" i="7"/>
  <c r="AR47" i="7"/>
  <c r="AU47" i="7"/>
  <c r="AX47" i="7"/>
  <c r="BA47" i="7"/>
  <c r="K47" i="7"/>
  <c r="L47" i="7"/>
  <c r="Z46" i="7"/>
  <c r="AC46" i="7"/>
  <c r="AF46" i="7"/>
  <c r="AI46" i="7"/>
  <c r="AL46" i="7"/>
  <c r="AO46" i="7"/>
  <c r="AR46" i="7"/>
  <c r="AU46" i="7"/>
  <c r="AX46" i="7"/>
  <c r="BA46" i="7"/>
  <c r="K46" i="7"/>
  <c r="L46" i="7"/>
  <c r="Z45" i="7"/>
  <c r="AC45" i="7"/>
  <c r="AF45" i="7"/>
  <c r="AI45" i="7"/>
  <c r="AL45" i="7"/>
  <c r="AO45" i="7"/>
  <c r="AR45" i="7"/>
  <c r="AU45" i="7"/>
  <c r="AX45" i="7"/>
  <c r="BA45" i="7"/>
  <c r="K45" i="7"/>
  <c r="L45" i="7"/>
  <c r="Z44" i="7"/>
  <c r="AC44" i="7"/>
  <c r="AF44" i="7"/>
  <c r="AI44" i="7"/>
  <c r="AL44" i="7"/>
  <c r="AO44" i="7"/>
  <c r="AR44" i="7"/>
  <c r="AU44" i="7"/>
  <c r="AX44" i="7"/>
  <c r="BA44" i="7"/>
  <c r="K44" i="7"/>
  <c r="L44" i="7"/>
  <c r="Z43" i="7"/>
  <c r="AC43" i="7"/>
  <c r="AF43" i="7"/>
  <c r="AI43" i="7"/>
  <c r="AL43" i="7"/>
  <c r="AO43" i="7"/>
  <c r="AR43" i="7"/>
  <c r="AU43" i="7"/>
  <c r="AX43" i="7"/>
  <c r="BA43" i="7"/>
  <c r="K43" i="7"/>
  <c r="L43" i="7"/>
  <c r="Z42" i="7"/>
  <c r="AC42" i="7"/>
  <c r="AF42" i="7"/>
  <c r="AI42" i="7"/>
  <c r="AL42" i="7"/>
  <c r="AO42" i="7"/>
  <c r="AR42" i="7"/>
  <c r="AU42" i="7"/>
  <c r="AX42" i="7"/>
  <c r="BA42" i="7"/>
  <c r="K42" i="7"/>
  <c r="L42" i="7"/>
  <c r="Z41" i="7"/>
  <c r="AC41" i="7"/>
  <c r="AF41" i="7"/>
  <c r="AI41" i="7"/>
  <c r="AL41" i="7"/>
  <c r="AO41" i="7"/>
  <c r="AR41" i="7"/>
  <c r="AU41" i="7"/>
  <c r="AX41" i="7"/>
  <c r="BA41" i="7"/>
  <c r="K41" i="7"/>
  <c r="L41" i="7"/>
  <c r="Z40" i="7"/>
  <c r="AC40" i="7"/>
  <c r="AF40" i="7"/>
  <c r="AI40" i="7"/>
  <c r="AL40" i="7"/>
  <c r="AO40" i="7"/>
  <c r="AR40" i="7"/>
  <c r="AU40" i="7"/>
  <c r="AX40" i="7"/>
  <c r="BA40" i="7"/>
  <c r="K40" i="7"/>
  <c r="L40" i="7"/>
  <c r="Z39" i="7"/>
  <c r="AC39" i="7"/>
  <c r="AF39" i="7"/>
  <c r="AI39" i="7"/>
  <c r="AL39" i="7"/>
  <c r="AO39" i="7"/>
  <c r="AR39" i="7"/>
  <c r="AU39" i="7"/>
  <c r="AX39" i="7"/>
  <c r="BA39" i="7"/>
  <c r="K39" i="7"/>
  <c r="L39" i="7"/>
  <c r="Z38" i="7"/>
  <c r="AC38" i="7"/>
  <c r="AF38" i="7"/>
  <c r="AI38" i="7"/>
  <c r="AL38" i="7"/>
  <c r="AO38" i="7"/>
  <c r="AR38" i="7"/>
  <c r="AU38" i="7"/>
  <c r="AX38" i="7"/>
  <c r="BA38" i="7"/>
  <c r="K38" i="7"/>
  <c r="L38" i="7"/>
  <c r="Z37" i="7"/>
  <c r="AC37" i="7"/>
  <c r="AF37" i="7"/>
  <c r="AI37" i="7"/>
  <c r="AL37" i="7"/>
  <c r="AO37" i="7"/>
  <c r="AR37" i="7"/>
  <c r="AU37" i="7"/>
  <c r="AX37" i="7"/>
  <c r="BA37" i="7"/>
  <c r="K37" i="7"/>
  <c r="L37" i="7"/>
  <c r="Z36" i="7"/>
  <c r="AC36" i="7"/>
  <c r="AF36" i="7"/>
  <c r="AI36" i="7"/>
  <c r="AL36" i="7"/>
  <c r="AO36" i="7"/>
  <c r="AR36" i="7"/>
  <c r="AU36" i="7"/>
  <c r="AX36" i="7"/>
  <c r="BA36" i="7"/>
  <c r="K36" i="7"/>
  <c r="L36" i="7"/>
  <c r="Z35" i="7"/>
  <c r="AC35" i="7"/>
  <c r="AF35" i="7"/>
  <c r="AI35" i="7"/>
  <c r="AL35" i="7"/>
  <c r="AO35" i="7"/>
  <c r="AR35" i="7"/>
  <c r="AU35" i="7"/>
  <c r="AX35" i="7"/>
  <c r="BA35" i="7"/>
  <c r="K35" i="7"/>
  <c r="L35" i="7"/>
  <c r="Z34" i="7"/>
  <c r="AC34" i="7"/>
  <c r="AF34" i="7"/>
  <c r="AI34" i="7"/>
  <c r="AL34" i="7"/>
  <c r="AO34" i="7"/>
  <c r="AR34" i="7"/>
  <c r="AU34" i="7"/>
  <c r="AX34" i="7"/>
  <c r="BA34" i="7"/>
  <c r="K34" i="7"/>
  <c r="L34" i="7"/>
  <c r="Z33" i="7"/>
  <c r="AC33" i="7"/>
  <c r="AF33" i="7"/>
  <c r="AI33" i="7"/>
  <c r="AL33" i="7"/>
  <c r="AO33" i="7"/>
  <c r="AR33" i="7"/>
  <c r="AU33" i="7"/>
  <c r="AX33" i="7"/>
  <c r="BA33" i="7"/>
  <c r="K33" i="7"/>
  <c r="L33" i="7"/>
  <c r="Z32" i="7"/>
  <c r="AC32" i="7"/>
  <c r="AF32" i="7"/>
  <c r="AI32" i="7"/>
  <c r="AL32" i="7"/>
  <c r="AO32" i="7"/>
  <c r="AR32" i="7"/>
  <c r="AU32" i="7"/>
  <c r="AX32" i="7"/>
  <c r="BA32" i="7"/>
  <c r="K32" i="7"/>
  <c r="L32" i="7"/>
  <c r="Z31" i="7"/>
  <c r="AC31" i="7"/>
  <c r="AF31" i="7"/>
  <c r="AI31" i="7"/>
  <c r="AL31" i="7"/>
  <c r="AO31" i="7"/>
  <c r="AR31" i="7"/>
  <c r="AU31" i="7"/>
  <c r="AX31" i="7"/>
  <c r="BA31" i="7"/>
  <c r="K31" i="7"/>
  <c r="L31" i="7"/>
  <c r="Z30" i="7"/>
  <c r="AC30" i="7"/>
  <c r="AF30" i="7"/>
  <c r="AI30" i="7"/>
  <c r="AL30" i="7"/>
  <c r="AO30" i="7"/>
  <c r="AR30" i="7"/>
  <c r="AU30" i="7"/>
  <c r="AX30" i="7"/>
  <c r="BA30" i="7"/>
  <c r="K30" i="7"/>
  <c r="L30" i="7"/>
  <c r="Z29" i="7"/>
  <c r="AC29" i="7"/>
  <c r="AF29" i="7"/>
  <c r="AI29" i="7"/>
  <c r="AL29" i="7"/>
  <c r="AO29" i="7"/>
  <c r="AR29" i="7"/>
  <c r="AU29" i="7"/>
  <c r="AX29" i="7"/>
  <c r="BA29" i="7"/>
  <c r="K29" i="7"/>
  <c r="L29" i="7"/>
  <c r="Z28" i="7"/>
  <c r="AC28" i="7"/>
  <c r="AF28" i="7"/>
  <c r="AI28" i="7"/>
  <c r="AL28" i="7"/>
  <c r="AO28" i="7"/>
  <c r="AR28" i="7"/>
  <c r="AU28" i="7"/>
  <c r="AX28" i="7"/>
  <c r="BA28" i="7"/>
  <c r="K28" i="7"/>
  <c r="Z27" i="7"/>
  <c r="AC27" i="7"/>
  <c r="AF27" i="7"/>
  <c r="AI27" i="7"/>
  <c r="AL27" i="7"/>
  <c r="AO27" i="7"/>
  <c r="AR27" i="7"/>
  <c r="AU27" i="7"/>
  <c r="AX27" i="7"/>
  <c r="BA27" i="7"/>
  <c r="K27" i="7"/>
  <c r="L27" i="7"/>
  <c r="Z26" i="7"/>
  <c r="AC26" i="7"/>
  <c r="AF26" i="7"/>
  <c r="AI26" i="7"/>
  <c r="AL26" i="7"/>
  <c r="AO26" i="7"/>
  <c r="AR26" i="7"/>
  <c r="AU26" i="7"/>
  <c r="AX26" i="7"/>
  <c r="BA26" i="7"/>
  <c r="K26" i="7"/>
  <c r="L26" i="7"/>
  <c r="Z25" i="7"/>
  <c r="AC25" i="7"/>
  <c r="AF25" i="7"/>
  <c r="AI25" i="7"/>
  <c r="AL25" i="7"/>
  <c r="AO25" i="7"/>
  <c r="AR25" i="7"/>
  <c r="AU25" i="7"/>
  <c r="AX25" i="7"/>
  <c r="BA25" i="7"/>
  <c r="K25" i="7"/>
  <c r="L25" i="7"/>
  <c r="Z24" i="7"/>
  <c r="AC24" i="7"/>
  <c r="AF24" i="7"/>
  <c r="AI24" i="7"/>
  <c r="AL24" i="7"/>
  <c r="AO24" i="7"/>
  <c r="AR24" i="7"/>
  <c r="AU24" i="7"/>
  <c r="AX24" i="7"/>
  <c r="BA24" i="7"/>
  <c r="K24" i="7"/>
  <c r="L24" i="7"/>
  <c r="Z23" i="7"/>
  <c r="AC23" i="7"/>
  <c r="AF23" i="7"/>
  <c r="AI23" i="7"/>
  <c r="AL23" i="7"/>
  <c r="AO23" i="7"/>
  <c r="AR23" i="7"/>
  <c r="AU23" i="7"/>
  <c r="AX23" i="7"/>
  <c r="BA23" i="7"/>
  <c r="K23" i="7"/>
  <c r="L23" i="7"/>
  <c r="Z22" i="7"/>
  <c r="AC22" i="7"/>
  <c r="AF22" i="7"/>
  <c r="AI22" i="7"/>
  <c r="AL22" i="7"/>
  <c r="AO22" i="7"/>
  <c r="AR22" i="7"/>
  <c r="AU22" i="7"/>
  <c r="AX22" i="7"/>
  <c r="BA22" i="7"/>
  <c r="K22" i="7"/>
  <c r="L22" i="7"/>
  <c r="Z21" i="7"/>
  <c r="AC21" i="7"/>
  <c r="AF21" i="7"/>
  <c r="AI21" i="7"/>
  <c r="AL21" i="7"/>
  <c r="AO21" i="7"/>
  <c r="AR21" i="7"/>
  <c r="AU21" i="7"/>
  <c r="AX21" i="7"/>
  <c r="BA21" i="7"/>
  <c r="K21" i="7"/>
  <c r="L21" i="7"/>
  <c r="Z20" i="7"/>
  <c r="AC20" i="7"/>
  <c r="AF20" i="7"/>
  <c r="AI20" i="7"/>
  <c r="AL20" i="7"/>
  <c r="AO20" i="7"/>
  <c r="AR20" i="7"/>
  <c r="AU20" i="7"/>
  <c r="AX20" i="7"/>
  <c r="BA20" i="7"/>
  <c r="K20" i="7"/>
  <c r="L20" i="7"/>
  <c r="Z19" i="7"/>
  <c r="AC19" i="7"/>
  <c r="AF19" i="7"/>
  <c r="AI19" i="7"/>
  <c r="AL19" i="7"/>
  <c r="AO19" i="7"/>
  <c r="AR19" i="7"/>
  <c r="AU19" i="7"/>
  <c r="AX19" i="7"/>
  <c r="BA19" i="7"/>
  <c r="K19" i="7"/>
  <c r="L19" i="7"/>
  <c r="Z18" i="7"/>
  <c r="AC18" i="7"/>
  <c r="AF18" i="7"/>
  <c r="AI18" i="7"/>
  <c r="AL18" i="7"/>
  <c r="AO18" i="7"/>
  <c r="AR18" i="7"/>
  <c r="AU18" i="7"/>
  <c r="AX18" i="7"/>
  <c r="BA18" i="7"/>
  <c r="K18" i="7"/>
  <c r="L18" i="7"/>
  <c r="Z17" i="7"/>
  <c r="AC17" i="7"/>
  <c r="AF17" i="7"/>
  <c r="AI17" i="7"/>
  <c r="AL17" i="7"/>
  <c r="AO17" i="7"/>
  <c r="AR17" i="7"/>
  <c r="AU17" i="7"/>
  <c r="AX17" i="7"/>
  <c r="BA17" i="7"/>
  <c r="K17" i="7"/>
  <c r="L17" i="7"/>
  <c r="Z16" i="7"/>
  <c r="AC16" i="7"/>
  <c r="AF16" i="7"/>
  <c r="AI16" i="7"/>
  <c r="AL16" i="7"/>
  <c r="AO16" i="7"/>
  <c r="AR16" i="7"/>
  <c r="AU16" i="7"/>
  <c r="AX16" i="7"/>
  <c r="BA16" i="7"/>
  <c r="K16" i="7"/>
  <c r="L16" i="7"/>
  <c r="Z15" i="7"/>
  <c r="AC15" i="7"/>
  <c r="AF15" i="7"/>
  <c r="AI15" i="7"/>
  <c r="AL15" i="7"/>
  <c r="AO15" i="7"/>
  <c r="AR15" i="7"/>
  <c r="AU15" i="7"/>
  <c r="AX15" i="7"/>
  <c r="BA15" i="7"/>
  <c r="K15" i="7"/>
  <c r="Z14" i="7"/>
  <c r="AC14" i="7"/>
  <c r="AF14" i="7"/>
  <c r="AI14" i="7"/>
  <c r="AL14" i="7"/>
  <c r="AO14" i="7"/>
  <c r="AR14" i="7"/>
  <c r="AU14" i="7"/>
  <c r="AX14" i="7"/>
  <c r="BA14" i="7"/>
  <c r="K14" i="7"/>
  <c r="L14" i="7"/>
  <c r="Z13" i="7"/>
  <c r="AC13" i="7"/>
  <c r="AF13" i="7"/>
  <c r="AI13" i="7"/>
  <c r="AL13" i="7"/>
  <c r="AO13" i="7"/>
  <c r="AR13" i="7"/>
  <c r="AU13" i="7"/>
  <c r="AX13" i="7"/>
  <c r="BA13" i="7"/>
  <c r="K13" i="7"/>
  <c r="L13" i="7"/>
  <c r="Z12" i="7"/>
  <c r="AC12" i="7"/>
  <c r="AF12" i="7"/>
  <c r="AI12" i="7"/>
  <c r="AL12" i="7"/>
  <c r="AO12" i="7"/>
  <c r="AR12" i="7"/>
  <c r="AU12" i="7"/>
  <c r="AX12" i="7"/>
  <c r="BA12" i="7"/>
  <c r="K12" i="7"/>
  <c r="L12" i="7"/>
  <c r="Z11" i="7"/>
  <c r="AC11" i="7"/>
  <c r="AF11" i="7"/>
  <c r="AI11" i="7"/>
  <c r="AL11" i="7"/>
  <c r="AO11" i="7"/>
  <c r="AR11" i="7"/>
  <c r="AU11" i="7"/>
  <c r="AX11" i="7"/>
  <c r="BA11" i="7"/>
  <c r="K11" i="7"/>
  <c r="L11" i="7"/>
  <c r="Z10" i="7"/>
  <c r="AC10" i="7"/>
  <c r="AF10" i="7"/>
  <c r="AI10" i="7"/>
  <c r="AL10" i="7"/>
  <c r="AO10" i="7"/>
  <c r="AR10" i="7"/>
  <c r="AU10" i="7"/>
  <c r="AX10" i="7"/>
  <c r="BA10" i="7"/>
  <c r="K10" i="7"/>
  <c r="L10" i="7"/>
  <c r="Z9" i="7"/>
  <c r="AC9" i="7"/>
  <c r="AF9" i="7"/>
  <c r="AI9" i="7"/>
  <c r="AL9" i="7"/>
  <c r="AO9" i="7"/>
  <c r="AR9" i="7"/>
  <c r="AU9" i="7"/>
  <c r="AX9" i="7"/>
  <c r="BA9" i="7"/>
  <c r="K9" i="7"/>
  <c r="L9" i="7"/>
  <c r="Z8" i="7"/>
  <c r="AC8" i="7"/>
  <c r="AF8" i="7"/>
  <c r="AI8" i="7"/>
  <c r="AL8" i="7"/>
  <c r="AO8" i="7"/>
  <c r="AR8" i="7"/>
  <c r="AU8" i="7"/>
  <c r="AX8" i="7"/>
  <c r="BA8" i="7"/>
  <c r="K8" i="7"/>
  <c r="L8" i="7"/>
  <c r="Z64" i="7"/>
  <c r="AC64" i="7"/>
  <c r="AF64" i="7"/>
  <c r="AI64" i="7"/>
  <c r="AL64" i="7"/>
  <c r="AO64" i="7"/>
  <c r="AR64" i="7"/>
  <c r="AU64" i="7"/>
  <c r="AX64" i="7"/>
  <c r="BA64" i="7"/>
  <c r="K64" i="7"/>
  <c r="L64" i="7"/>
  <c r="L15" i="7"/>
  <c r="N8" i="7"/>
  <c r="Q8" i="7"/>
  <c r="T8" i="7"/>
  <c r="W8" i="7"/>
  <c r="N9" i="7"/>
  <c r="Q9" i="7"/>
  <c r="T9" i="7"/>
  <c r="W9" i="7"/>
  <c r="N10" i="7"/>
  <c r="Q10" i="7"/>
  <c r="T10" i="7"/>
  <c r="W10" i="7"/>
  <c r="N11" i="7"/>
  <c r="Q11" i="7"/>
  <c r="T11" i="7"/>
  <c r="W11" i="7"/>
  <c r="N12" i="7"/>
  <c r="Q12" i="7"/>
  <c r="T12" i="7"/>
  <c r="W12" i="7"/>
  <c r="N13" i="7"/>
  <c r="Q13" i="7"/>
  <c r="T13" i="7"/>
  <c r="W13" i="7"/>
  <c r="N14" i="7"/>
  <c r="Q14" i="7"/>
  <c r="T14" i="7"/>
  <c r="W14" i="7"/>
  <c r="N15" i="7"/>
  <c r="Q15" i="7"/>
  <c r="T15" i="7"/>
  <c r="W15" i="7"/>
  <c r="L28" i="7"/>
  <c r="N28" i="7"/>
  <c r="Q28" i="7"/>
  <c r="T28" i="7"/>
  <c r="W28" i="7"/>
  <c r="N16" i="7"/>
  <c r="N17" i="7"/>
  <c r="Q17" i="7"/>
  <c r="T17" i="7"/>
  <c r="W17" i="7"/>
  <c r="N18" i="7"/>
  <c r="N19" i="7"/>
  <c r="Q19" i="7"/>
  <c r="T19" i="7"/>
  <c r="W19" i="7"/>
  <c r="N20" i="7"/>
  <c r="N21" i="7"/>
  <c r="Q21" i="7"/>
  <c r="T21" i="7"/>
  <c r="W21" i="7"/>
  <c r="N22" i="7"/>
  <c r="N23" i="7"/>
  <c r="Q23" i="7"/>
  <c r="T23" i="7"/>
  <c r="W23" i="7"/>
  <c r="N24" i="7"/>
  <c r="N25" i="7"/>
  <c r="Q25" i="7"/>
  <c r="T25" i="7"/>
  <c r="W25" i="7"/>
  <c r="N26" i="7"/>
  <c r="N27" i="7"/>
  <c r="Q27" i="7"/>
  <c r="T27" i="7"/>
  <c r="W27" i="7"/>
  <c r="O28" i="7"/>
  <c r="N29" i="7"/>
  <c r="Q29" i="7"/>
  <c r="T29" i="7"/>
  <c r="W29" i="7"/>
  <c r="N30" i="7"/>
  <c r="N31" i="7"/>
  <c r="Q31" i="7"/>
  <c r="T31" i="7"/>
  <c r="W31" i="7"/>
  <c r="N32" i="7"/>
  <c r="N33" i="7"/>
  <c r="Q33" i="7"/>
  <c r="T33" i="7"/>
  <c r="W33" i="7"/>
  <c r="N34" i="7"/>
  <c r="N35" i="7"/>
  <c r="Q35" i="7"/>
  <c r="T35" i="7"/>
  <c r="W35" i="7"/>
  <c r="N36" i="7"/>
  <c r="N37" i="7"/>
  <c r="Q37" i="7"/>
  <c r="T37" i="7"/>
  <c r="W37" i="7"/>
  <c r="N38" i="7"/>
  <c r="N39" i="7"/>
  <c r="Q39" i="7"/>
  <c r="T39" i="7"/>
  <c r="W39" i="7"/>
  <c r="N40" i="7"/>
  <c r="N41" i="7"/>
  <c r="Q41" i="7"/>
  <c r="T41" i="7"/>
  <c r="W41" i="7"/>
  <c r="N42" i="7"/>
  <c r="N43" i="7"/>
  <c r="Q43" i="7"/>
  <c r="T43" i="7"/>
  <c r="W43" i="7"/>
  <c r="N44" i="7"/>
  <c r="N45" i="7"/>
  <c r="Q45" i="7"/>
  <c r="T45" i="7"/>
  <c r="W45" i="7"/>
  <c r="N46" i="7"/>
  <c r="Q46" i="7"/>
  <c r="T46" i="7"/>
  <c r="W46" i="7"/>
  <c r="N47" i="7"/>
  <c r="Q47" i="7"/>
  <c r="T47" i="7"/>
  <c r="W47" i="7"/>
  <c r="O46" i="7"/>
  <c r="R46" i="7"/>
  <c r="U46" i="7"/>
  <c r="N48" i="7"/>
  <c r="N49" i="7"/>
  <c r="Q49" i="7"/>
  <c r="T49" i="7"/>
  <c r="W49" i="7"/>
  <c r="N50" i="7"/>
  <c r="N51" i="7"/>
  <c r="Q51" i="7"/>
  <c r="T51" i="7"/>
  <c r="W51" i="7"/>
  <c r="N52" i="7"/>
  <c r="N53" i="7"/>
  <c r="Q53" i="7"/>
  <c r="T53" i="7"/>
  <c r="W53" i="7"/>
  <c r="N54" i="7"/>
  <c r="Q54" i="7"/>
  <c r="T54" i="7"/>
  <c r="W54" i="7"/>
  <c r="N55" i="7"/>
  <c r="Q55" i="7"/>
  <c r="T55" i="7"/>
  <c r="W55" i="7"/>
  <c r="N56" i="7"/>
  <c r="Q56" i="7"/>
  <c r="T56" i="7"/>
  <c r="W56" i="7"/>
  <c r="N57" i="7"/>
  <c r="Q57" i="7"/>
  <c r="T57" i="7"/>
  <c r="W57" i="7"/>
  <c r="N58" i="7"/>
  <c r="Q58" i="7"/>
  <c r="T58" i="7"/>
  <c r="W58" i="7"/>
  <c r="N59" i="7"/>
  <c r="Q59" i="7"/>
  <c r="T59" i="7"/>
  <c r="W59" i="7"/>
  <c r="N60" i="7"/>
  <c r="Q60" i="7"/>
  <c r="T60" i="7"/>
  <c r="W60" i="7"/>
  <c r="N61" i="7"/>
  <c r="Q61" i="7"/>
  <c r="T61" i="7"/>
  <c r="W61" i="7"/>
  <c r="N62" i="7"/>
  <c r="Q62" i="7"/>
  <c r="T62" i="7"/>
  <c r="W62" i="7"/>
  <c r="N63" i="7"/>
  <c r="Q63" i="7"/>
  <c r="T63" i="7"/>
  <c r="W63" i="7"/>
  <c r="N64" i="7"/>
  <c r="O63" i="7"/>
  <c r="R63" i="7"/>
  <c r="O47" i="7"/>
  <c r="R47" i="7"/>
  <c r="U47" i="7"/>
  <c r="G47" i="7"/>
  <c r="X47" i="7"/>
  <c r="G46" i="7"/>
  <c r="X46" i="7"/>
  <c r="Q50" i="7"/>
  <c r="T50" i="7"/>
  <c r="W50" i="7"/>
  <c r="O50" i="7"/>
  <c r="R50" i="7"/>
  <c r="Q48" i="7"/>
  <c r="T48" i="7"/>
  <c r="W48" i="7"/>
  <c r="O48" i="7"/>
  <c r="Q44" i="7"/>
  <c r="T44" i="7"/>
  <c r="W44" i="7"/>
  <c r="O44" i="7"/>
  <c r="Q42" i="7"/>
  <c r="T42" i="7"/>
  <c r="W42" i="7"/>
  <c r="O42" i="7"/>
  <c r="Q40" i="7"/>
  <c r="T40" i="7"/>
  <c r="W40" i="7"/>
  <c r="O40" i="7"/>
  <c r="R40" i="7"/>
  <c r="Q38" i="7"/>
  <c r="T38" i="7"/>
  <c r="W38" i="7"/>
  <c r="O38" i="7"/>
  <c r="Q36" i="7"/>
  <c r="T36" i="7"/>
  <c r="W36" i="7"/>
  <c r="O36" i="7"/>
  <c r="Q34" i="7"/>
  <c r="T34" i="7"/>
  <c r="W34" i="7"/>
  <c r="O34" i="7"/>
  <c r="R34" i="7"/>
  <c r="U34" i="7"/>
  <c r="G34" i="7"/>
  <c r="Q32" i="7"/>
  <c r="T32" i="7"/>
  <c r="W32" i="7"/>
  <c r="O32" i="7"/>
  <c r="R32" i="7"/>
  <c r="Q30" i="7"/>
  <c r="T30" i="7"/>
  <c r="W30" i="7"/>
  <c r="O30" i="7"/>
  <c r="Q26" i="7"/>
  <c r="T26" i="7"/>
  <c r="W26" i="7"/>
  <c r="O26" i="7"/>
  <c r="Q24" i="7"/>
  <c r="T24" i="7"/>
  <c r="W24" i="7"/>
  <c r="O24" i="7"/>
  <c r="Q22" i="7"/>
  <c r="T22" i="7"/>
  <c r="W22" i="7"/>
  <c r="O22" i="7"/>
  <c r="R22" i="7"/>
  <c r="Q20" i="7"/>
  <c r="T20" i="7"/>
  <c r="W20" i="7"/>
  <c r="O20" i="7"/>
  <c r="Q18" i="7"/>
  <c r="T18" i="7"/>
  <c r="W18" i="7"/>
  <c r="O18" i="7"/>
  <c r="Q16" i="7"/>
  <c r="T16" i="7"/>
  <c r="W16" i="7"/>
  <c r="O16" i="7"/>
  <c r="R16" i="7"/>
  <c r="O62" i="7"/>
  <c r="O60" i="7"/>
  <c r="O58" i="7"/>
  <c r="O56" i="7"/>
  <c r="R56" i="7"/>
  <c r="U56" i="7"/>
  <c r="O54" i="7"/>
  <c r="O61" i="7"/>
  <c r="O59" i="7"/>
  <c r="R59" i="7"/>
  <c r="U59" i="7"/>
  <c r="G59" i="7"/>
  <c r="R58" i="7"/>
  <c r="U58" i="7"/>
  <c r="G58" i="7"/>
  <c r="O57" i="7"/>
  <c r="O55" i="7"/>
  <c r="R54" i="7"/>
  <c r="U54" i="7"/>
  <c r="G54" i="7"/>
  <c r="O53" i="7"/>
  <c r="R53" i="7"/>
  <c r="O51" i="7"/>
  <c r="R51" i="7"/>
  <c r="O49" i="7"/>
  <c r="O45" i="7"/>
  <c r="R44" i="7"/>
  <c r="O43" i="7"/>
  <c r="R42" i="7"/>
  <c r="O41" i="7"/>
  <c r="O39" i="7"/>
  <c r="O37" i="7"/>
  <c r="R36" i="7"/>
  <c r="O35" i="7"/>
  <c r="O33" i="7"/>
  <c r="O31" i="7"/>
  <c r="O29" i="7"/>
  <c r="O27" i="7"/>
  <c r="O10" i="7"/>
  <c r="R10" i="7"/>
  <c r="U10" i="7"/>
  <c r="O8" i="7"/>
  <c r="R26" i="7"/>
  <c r="O25" i="7"/>
  <c r="O21" i="7"/>
  <c r="R18" i="7"/>
  <c r="U18" i="7"/>
  <c r="O17" i="7"/>
  <c r="R17" i="7"/>
  <c r="O15" i="7"/>
  <c r="R15" i="7"/>
  <c r="O13" i="7"/>
  <c r="R13" i="7"/>
  <c r="O12" i="7"/>
  <c r="R12" i="7"/>
  <c r="O11" i="7"/>
  <c r="Q52" i="7"/>
  <c r="T52" i="7"/>
  <c r="W52" i="7"/>
  <c r="O52" i="7"/>
  <c r="R57" i="7"/>
  <c r="R55" i="7"/>
  <c r="U55" i="7"/>
  <c r="G55" i="7"/>
  <c r="R49" i="7"/>
  <c r="U49" i="7"/>
  <c r="G49" i="7"/>
  <c r="R31" i="7"/>
  <c r="U31" i="7"/>
  <c r="R28" i="7"/>
  <c r="R27" i="7"/>
  <c r="R25" i="7"/>
  <c r="U25" i="7"/>
  <c r="G25" i="7"/>
  <c r="R21" i="7"/>
  <c r="U21" i="7"/>
  <c r="O9" i="7"/>
  <c r="R24" i="7"/>
  <c r="O23" i="7"/>
  <c r="R20" i="7"/>
  <c r="O19" i="7"/>
  <c r="O14" i="7"/>
  <c r="R11" i="7"/>
  <c r="U11" i="7"/>
  <c r="Q64" i="7"/>
  <c r="T64" i="7"/>
  <c r="W64" i="7"/>
  <c r="O64" i="7"/>
  <c r="G56" i="7"/>
  <c r="X56" i="7"/>
  <c r="U63" i="7"/>
  <c r="R62" i="7"/>
  <c r="U62" i="7"/>
  <c r="R8" i="7"/>
  <c r="U8" i="7"/>
  <c r="X34" i="7"/>
  <c r="R30" i="7"/>
  <c r="R38" i="7"/>
  <c r="R48" i="7"/>
  <c r="U48" i="7"/>
  <c r="R60" i="7"/>
  <c r="U17" i="7"/>
  <c r="G17" i="7"/>
  <c r="U38" i="7"/>
  <c r="X18" i="7"/>
  <c r="G48" i="7"/>
  <c r="X48" i="7"/>
  <c r="G38" i="7"/>
  <c r="U28" i="7"/>
  <c r="R14" i="7"/>
  <c r="U14" i="7"/>
  <c r="U15" i="7"/>
  <c r="X11" i="7"/>
  <c r="U13" i="7"/>
  <c r="X13" i="7"/>
  <c r="R23" i="7"/>
  <c r="X25" i="7"/>
  <c r="R29" i="7"/>
  <c r="U32" i="7"/>
  <c r="R37" i="7"/>
  <c r="R39" i="7"/>
  <c r="R45" i="7"/>
  <c r="R52" i="7"/>
  <c r="X49" i="7"/>
  <c r="U16" i="7"/>
  <c r="U20" i="7"/>
  <c r="U24" i="7"/>
  <c r="U40" i="7"/>
  <c r="U42" i="7"/>
  <c r="U44" i="7"/>
  <c r="U50" i="7"/>
  <c r="R61" i="7"/>
  <c r="G63" i="7"/>
  <c r="X63" i="7"/>
  <c r="U12" i="7"/>
  <c r="X12" i="7"/>
  <c r="U30" i="7"/>
  <c r="R35" i="7"/>
  <c r="R41" i="7"/>
  <c r="U51" i="7"/>
  <c r="U53" i="7"/>
  <c r="X54" i="7"/>
  <c r="U57" i="7"/>
  <c r="X58" i="7"/>
  <c r="X10" i="7"/>
  <c r="U23" i="7"/>
  <c r="R9" i="7"/>
  <c r="R19" i="7"/>
  <c r="X21" i="7"/>
  <c r="U27" i="7"/>
  <c r="X28" i="7"/>
  <c r="X31" i="7"/>
  <c r="R33" i="7"/>
  <c r="U36" i="7"/>
  <c r="R43" i="7"/>
  <c r="X51" i="7"/>
  <c r="X55" i="7"/>
  <c r="X59" i="7"/>
  <c r="U22" i="7"/>
  <c r="U26" i="7"/>
  <c r="R64" i="7"/>
  <c r="U64" i="7"/>
  <c r="X64" i="7"/>
  <c r="X38" i="7"/>
  <c r="G62" i="7"/>
  <c r="X62" i="7"/>
  <c r="X8" i="7"/>
  <c r="U60" i="7"/>
  <c r="X24" i="7"/>
  <c r="X16" i="7"/>
  <c r="X14" i="7"/>
  <c r="X17" i="7"/>
  <c r="X26" i="7"/>
  <c r="X22" i="7"/>
  <c r="U33" i="7"/>
  <c r="G33" i="7"/>
  <c r="G57" i="7"/>
  <c r="G51" i="7"/>
  <c r="U35" i="7"/>
  <c r="G50" i="7"/>
  <c r="X50" i="7"/>
  <c r="G42" i="7"/>
  <c r="X42" i="7"/>
  <c r="U45" i="7"/>
  <c r="U39" i="7"/>
  <c r="X39" i="7"/>
  <c r="G32" i="7"/>
  <c r="X32" i="7"/>
  <c r="U29" i="7"/>
  <c r="U9" i="7"/>
  <c r="X23" i="7"/>
  <c r="X35" i="7"/>
  <c r="X20" i="7"/>
  <c r="U43" i="7"/>
  <c r="G36" i="7"/>
  <c r="X36" i="7"/>
  <c r="X27" i="7"/>
  <c r="G53" i="7"/>
  <c r="U41" i="7"/>
  <c r="X41" i="7"/>
  <c r="X30" i="7"/>
  <c r="U61" i="7"/>
  <c r="G44" i="7"/>
  <c r="X44" i="7"/>
  <c r="G40" i="7"/>
  <c r="X40" i="7"/>
  <c r="U52" i="7"/>
  <c r="U37" i="7"/>
  <c r="G13" i="7"/>
  <c r="X15" i="7"/>
  <c r="X61" i="7"/>
  <c r="X57" i="7"/>
  <c r="X53" i="7"/>
  <c r="U19" i="7"/>
  <c r="G60" i="7"/>
  <c r="X60" i="7"/>
  <c r="X33" i="7"/>
  <c r="G37" i="7"/>
  <c r="G52" i="7"/>
  <c r="G61" i="7"/>
  <c r="G43" i="7"/>
  <c r="G29" i="7"/>
  <c r="G39" i="7"/>
  <c r="X37" i="7"/>
  <c r="X43" i="7"/>
  <c r="X29" i="7"/>
  <c r="X45" i="7"/>
  <c r="X9" i="7"/>
  <c r="G41" i="7"/>
  <c r="G45" i="7"/>
  <c r="G35" i="7"/>
  <c r="X52" i="7"/>
  <c r="X19" i="7"/>
  <c r="AA56" i="7"/>
  <c r="AD56" i="7"/>
  <c r="AG56" i="7"/>
  <c r="BD56" i="7"/>
  <c r="BD47" i="7"/>
  <c r="AD47" i="7"/>
  <c r="AA47" i="7"/>
  <c r="AV47" i="7"/>
  <c r="AY47" i="7"/>
  <c r="BB47" i="7"/>
  <c r="BD51" i="7"/>
  <c r="BD12" i="7"/>
  <c r="BD18" i="7"/>
  <c r="BB56" i="7"/>
  <c r="BD10" i="7"/>
  <c r="AJ56" i="7"/>
  <c r="AM56" i="7"/>
  <c r="AP56" i="7"/>
  <c r="AS56" i="7"/>
  <c r="AV56" i="7"/>
  <c r="AY56" i="7"/>
  <c r="BD57" i="7"/>
  <c r="BD62" i="7"/>
  <c r="AG47" i="7"/>
  <c r="AJ47" i="7"/>
  <c r="AM47" i="7"/>
  <c r="AP47" i="7"/>
  <c r="AS47" i="7"/>
  <c r="BD60" i="7"/>
  <c r="AS18" i="7"/>
  <c r="AV18" i="7"/>
  <c r="AY18" i="7"/>
  <c r="BB18" i="7"/>
  <c r="AM18" i="7"/>
  <c r="AP18" i="7"/>
  <c r="AA18" i="7"/>
  <c r="AD18" i="7"/>
  <c r="AG18" i="7"/>
  <c r="AJ18" i="7"/>
  <c r="AA13" i="7"/>
  <c r="AD13" i="7"/>
  <c r="AG13" i="7"/>
  <c r="BB13" i="7"/>
  <c r="BD13" i="7"/>
  <c r="AJ13" i="7"/>
  <c r="AM13" i="7"/>
  <c r="AP13" i="7"/>
  <c r="AS13" i="7"/>
  <c r="AV13" i="7"/>
  <c r="AY13" i="7"/>
  <c r="BD25" i="7"/>
  <c r="AA25" i="7"/>
  <c r="AD25" i="7"/>
  <c r="AG25" i="7"/>
  <c r="AJ25" i="7"/>
  <c r="AM25" i="7"/>
  <c r="AP25" i="7"/>
  <c r="AS25" i="7"/>
  <c r="AV25" i="7"/>
  <c r="AY25" i="7"/>
  <c r="BB25" i="7"/>
  <c r="AA19" i="7"/>
  <c r="AD19" i="7"/>
  <c r="AG19" i="7"/>
  <c r="AJ19" i="7"/>
  <c r="AM19" i="7"/>
  <c r="AP19" i="7"/>
  <c r="AS19" i="7"/>
  <c r="AV19" i="7"/>
  <c r="AY19" i="7"/>
  <c r="BB19" i="7"/>
  <c r="AA14" i="7"/>
  <c r="AD14" i="7"/>
  <c r="AG14" i="7"/>
  <c r="AJ14" i="7"/>
  <c r="AM14" i="7"/>
  <c r="AP14" i="7"/>
  <c r="AS14" i="7"/>
  <c r="AV14" i="7"/>
  <c r="AY14" i="7"/>
  <c r="BB14" i="7"/>
  <c r="BD14" i="7"/>
  <c r="BD23" i="7"/>
  <c r="AA23" i="7"/>
  <c r="AD23" i="7"/>
  <c r="AG23" i="7"/>
  <c r="AJ23" i="7"/>
  <c r="BD11" i="7"/>
  <c r="AA11" i="7"/>
  <c r="AD11" i="7"/>
  <c r="AG11" i="7"/>
  <c r="AJ11" i="7"/>
  <c r="AM11" i="7"/>
  <c r="AP11" i="7"/>
  <c r="BD55" i="7"/>
  <c r="AA55" i="7"/>
  <c r="AD55" i="7"/>
  <c r="AG55" i="7"/>
  <c r="AJ55" i="7"/>
  <c r="AM55" i="7"/>
  <c r="AP55" i="7"/>
  <c r="AS55" i="7"/>
  <c r="AV55" i="7"/>
  <c r="AY55" i="7"/>
  <c r="BB55" i="7"/>
  <c r="BD38" i="7"/>
  <c r="AA38" i="7"/>
  <c r="AD38" i="7"/>
  <c r="AG38" i="7"/>
  <c r="AJ38" i="7"/>
  <c r="AM38" i="7"/>
  <c r="AP38" i="7"/>
  <c r="AS38" i="7"/>
  <c r="AV38" i="7"/>
  <c r="AY38" i="7"/>
  <c r="BB38" i="7"/>
  <c r="BD53" i="7"/>
  <c r="AA53" i="7"/>
  <c r="AD53" i="7"/>
  <c r="AG53" i="7"/>
  <c r="AJ53" i="7"/>
  <c r="AM53" i="7"/>
  <c r="AP53" i="7"/>
  <c r="AS53" i="7"/>
  <c r="AV53" i="7"/>
  <c r="AY53" i="7"/>
  <c r="BB53" i="7"/>
  <c r="BD59" i="7"/>
  <c r="AA59" i="7"/>
  <c r="AD59" i="7"/>
  <c r="AG59" i="7"/>
  <c r="AJ59" i="7"/>
  <c r="AM59" i="7"/>
  <c r="AP59" i="7"/>
  <c r="AS59" i="7"/>
  <c r="AV59" i="7"/>
  <c r="AY59" i="7"/>
  <c r="BB59" i="7"/>
  <c r="BD34" i="7"/>
  <c r="AA34" i="7"/>
  <c r="AD34" i="7"/>
  <c r="AG34" i="7"/>
  <c r="AJ34" i="7"/>
  <c r="AM34" i="7"/>
  <c r="AP34" i="7"/>
  <c r="AS34" i="7"/>
  <c r="AV34" i="7"/>
  <c r="AY34" i="7"/>
  <c r="BB34" i="7"/>
  <c r="BD48" i="7"/>
  <c r="AA48" i="7"/>
  <c r="AD48" i="7"/>
  <c r="AG48" i="7"/>
  <c r="AJ48" i="7"/>
  <c r="AM48" i="7"/>
  <c r="AP48" i="7"/>
  <c r="AS48" i="7"/>
  <c r="AV48" i="7"/>
  <c r="AY48" i="7"/>
  <c r="BB48" i="7"/>
  <c r="BD58" i="7"/>
  <c r="AA58" i="7"/>
  <c r="AD58" i="7"/>
  <c r="AG58" i="7"/>
  <c r="AJ58" i="7"/>
  <c r="AM58" i="7"/>
  <c r="AP58" i="7"/>
  <c r="AS58" i="7"/>
  <c r="AV58" i="7"/>
  <c r="AY58" i="7"/>
  <c r="BB58" i="7"/>
  <c r="BD16" i="7"/>
  <c r="AA16" i="7"/>
  <c r="AD16" i="7"/>
  <c r="AG16" i="7"/>
  <c r="AJ16" i="7"/>
  <c r="AM16" i="7"/>
  <c r="AP16" i="7"/>
  <c r="AS16" i="7"/>
  <c r="AV16" i="7"/>
  <c r="AY16" i="7"/>
  <c r="BB16" i="7"/>
  <c r="BD17" i="7"/>
  <c r="AA17" i="7"/>
  <c r="AD17" i="7"/>
  <c r="AG17" i="7"/>
  <c r="AJ17" i="7"/>
  <c r="AM17" i="7"/>
  <c r="AP17" i="7"/>
  <c r="BD9" i="7"/>
  <c r="AA9" i="7"/>
  <c r="AD9" i="7"/>
  <c r="AG9" i="7"/>
  <c r="AJ9" i="7"/>
  <c r="AM9" i="7"/>
  <c r="AP9" i="7"/>
  <c r="AS9" i="7"/>
  <c r="AV9" i="7"/>
  <c r="AY9" i="7"/>
  <c r="BB9" i="7"/>
  <c r="BD35" i="7"/>
  <c r="AA35" i="7"/>
  <c r="AD35" i="7"/>
  <c r="AG35" i="7"/>
  <c r="AJ35" i="7"/>
  <c r="AM35" i="7"/>
  <c r="AP35" i="7"/>
  <c r="AS35" i="7"/>
  <c r="AV35" i="7"/>
  <c r="AY35" i="7"/>
  <c r="BB35" i="7"/>
  <c r="AA32" i="7"/>
  <c r="AD32" i="7"/>
  <c r="AG32" i="7"/>
  <c r="AJ32" i="7"/>
  <c r="AM32" i="7"/>
  <c r="AP32" i="7"/>
  <c r="BD32" i="7"/>
  <c r="AA42" i="7"/>
  <c r="AD42" i="7"/>
  <c r="AG42" i="7"/>
  <c r="AJ42" i="7"/>
  <c r="AM42" i="7"/>
  <c r="AP42" i="7"/>
  <c r="AS42" i="7"/>
  <c r="AV42" i="7"/>
  <c r="AY42" i="7"/>
  <c r="BB42" i="7"/>
  <c r="BD42" i="7"/>
  <c r="BB12" i="7"/>
  <c r="BD46" i="7"/>
  <c r="AA46" i="7"/>
  <c r="AD46" i="7"/>
  <c r="AG46" i="7"/>
  <c r="AJ46" i="7"/>
  <c r="AM46" i="7"/>
  <c r="AP46" i="7"/>
  <c r="AS46" i="7"/>
  <c r="AV46" i="7"/>
  <c r="AY46" i="7"/>
  <c r="BB46" i="7"/>
  <c r="BD21" i="7"/>
  <c r="AY51" i="7"/>
  <c r="BB51" i="7"/>
  <c r="AA51" i="7"/>
  <c r="AD51" i="7"/>
  <c r="AG51" i="7"/>
  <c r="AJ51" i="7"/>
  <c r="AM51" i="7"/>
  <c r="AP51" i="7"/>
  <c r="AS51" i="7"/>
  <c r="AV51" i="7"/>
  <c r="AS17" i="7"/>
  <c r="AV17" i="7"/>
  <c r="AY17" i="7"/>
  <c r="BB17" i="7"/>
  <c r="AM28" i="7"/>
  <c r="AP28" i="7"/>
  <c r="AS28" i="7"/>
  <c r="AV28" i="7"/>
  <c r="AY28" i="7"/>
  <c r="BB28" i="7"/>
  <c r="BD41" i="7"/>
  <c r="AA12" i="7"/>
  <c r="AD12" i="7"/>
  <c r="AG12" i="7"/>
  <c r="AJ12" i="7"/>
  <c r="AM12" i="7"/>
  <c r="AP12" i="7"/>
  <c r="AS12" i="7"/>
  <c r="AV12" i="7"/>
  <c r="AY12" i="7"/>
  <c r="AS32" i="7"/>
  <c r="AV32" i="7"/>
  <c r="AY32" i="7"/>
  <c r="BB32" i="7"/>
  <c r="AY11" i="7"/>
  <c r="BB11" i="7"/>
  <c r="AS11" i="7"/>
  <c r="AV11" i="7"/>
  <c r="AA62" i="7"/>
  <c r="AD62" i="7"/>
  <c r="AG62" i="7"/>
  <c r="AM23" i="7"/>
  <c r="AP23" i="7"/>
  <c r="AS23" i="7"/>
  <c r="AV23" i="7"/>
  <c r="AY23" i="7"/>
  <c r="BB23" i="7"/>
  <c r="BD49" i="7"/>
  <c r="BD43" i="7"/>
  <c r="AG44" i="7"/>
  <c r="AJ44" i="7"/>
  <c r="AM44" i="7"/>
  <c r="AP44" i="7"/>
  <c r="AS44" i="7"/>
  <c r="AV44" i="7"/>
  <c r="AY44" i="7"/>
  <c r="BB44" i="7"/>
  <c r="AA57" i="7"/>
  <c r="AD57" i="7"/>
  <c r="AG57" i="7"/>
  <c r="AJ57" i="7"/>
  <c r="AM57" i="7"/>
  <c r="AP57" i="7"/>
  <c r="AS57" i="7"/>
  <c r="AV57" i="7"/>
  <c r="AY57" i="7"/>
  <c r="BB57" i="7"/>
  <c r="BD8" i="7"/>
  <c r="AJ62" i="7"/>
  <c r="AM62" i="7"/>
  <c r="AP62" i="7"/>
  <c r="AS62" i="7"/>
  <c r="AV62" i="7"/>
  <c r="AY62" i="7"/>
  <c r="BB62" i="7"/>
  <c r="AA10" i="7"/>
  <c r="AD10" i="7"/>
  <c r="AG10" i="7"/>
  <c r="AJ10" i="7"/>
  <c r="AM10" i="7"/>
  <c r="AP10" i="7"/>
  <c r="AS10" i="7"/>
  <c r="AV10" i="7"/>
  <c r="AY10" i="7"/>
  <c r="BB10" i="7"/>
  <c r="BD31" i="7"/>
  <c r="AA60" i="7"/>
  <c r="AD60" i="7"/>
  <c r="AG60" i="7"/>
  <c r="AJ60" i="7"/>
  <c r="AM60" i="7"/>
  <c r="AP60" i="7"/>
  <c r="AS60" i="7"/>
  <c r="AV60" i="7"/>
  <c r="AY60" i="7"/>
  <c r="BB60" i="7"/>
  <c r="AA49" i="7"/>
  <c r="AD49" i="7"/>
  <c r="AG49" i="7"/>
  <c r="AJ49" i="7"/>
  <c r="AM49" i="7"/>
  <c r="AP49" i="7"/>
  <c r="AY49" i="7"/>
  <c r="BB49" i="7"/>
  <c r="AS49" i="7"/>
  <c r="AV49" i="7"/>
  <c r="AA31" i="7"/>
  <c r="AD31" i="7"/>
  <c r="AG31" i="7"/>
  <c r="AJ31" i="7"/>
  <c r="AM31" i="7"/>
  <c r="AP31" i="7"/>
  <c r="AS31" i="7"/>
  <c r="AV31" i="7"/>
  <c r="AY31" i="7"/>
  <c r="BB31" i="7"/>
  <c r="BD19" i="7"/>
  <c r="AM40" i="7"/>
  <c r="AP40" i="7"/>
  <c r="AS40" i="7"/>
  <c r="AV40" i="7"/>
  <c r="AY40" i="7"/>
  <c r="BB40" i="7"/>
  <c r="AD40" i="7"/>
  <c r="AG40" i="7"/>
  <c r="AJ40" i="7"/>
  <c r="AM43" i="7"/>
  <c r="AP43" i="7"/>
  <c r="AS43" i="7"/>
  <c r="AV43" i="7"/>
  <c r="AY43" i="7"/>
  <c r="BB43" i="7"/>
  <c r="AP26" i="7"/>
  <c r="AS26" i="7"/>
  <c r="AV26" i="7"/>
  <c r="AY26" i="7"/>
  <c r="BB26" i="7"/>
  <c r="AA21" i="7"/>
  <c r="AD21" i="7"/>
  <c r="AG21" i="7"/>
  <c r="AJ21" i="7"/>
  <c r="AM21" i="7"/>
  <c r="AP21" i="7"/>
  <c r="AS21" i="7"/>
  <c r="AV21" i="7"/>
  <c r="AY21" i="7"/>
  <c r="BB21" i="7"/>
  <c r="BD20" i="7"/>
  <c r="AA20" i="7"/>
  <c r="AD20" i="7"/>
  <c r="AG20" i="7"/>
  <c r="AJ20" i="7"/>
  <c r="AM20" i="7"/>
  <c r="AP20" i="7"/>
  <c r="AS20" i="7"/>
  <c r="AV20" i="7"/>
  <c r="AY20" i="7"/>
  <c r="BB20" i="7"/>
  <c r="BD52" i="7"/>
  <c r="AA52" i="7"/>
  <c r="AD52" i="7"/>
  <c r="AG52" i="7"/>
  <c r="AJ52" i="7"/>
  <c r="AM52" i="7"/>
  <c r="AP52" i="7"/>
  <c r="AS52" i="7"/>
  <c r="AV52" i="7"/>
  <c r="AY52" i="7"/>
  <c r="BB52" i="7"/>
  <c r="BD22" i="7"/>
  <c r="AA22" i="7"/>
  <c r="AD22" i="7"/>
  <c r="AG22" i="7"/>
  <c r="AJ22" i="7"/>
  <c r="AM22" i="7"/>
  <c r="AP22" i="7"/>
  <c r="AS22" i="7"/>
  <c r="AV22" i="7"/>
  <c r="AY22" i="7"/>
  <c r="BB22" i="7"/>
  <c r="BD45" i="7"/>
  <c r="AA45" i="7"/>
  <c r="AD45" i="7"/>
  <c r="AG45" i="7"/>
  <c r="AJ45" i="7"/>
  <c r="AM45" i="7"/>
  <c r="AP45" i="7"/>
  <c r="AS45" i="7"/>
  <c r="AV45" i="7"/>
  <c r="AY45" i="7"/>
  <c r="BB45" i="7"/>
  <c r="BD30" i="7"/>
  <c r="AA30" i="7"/>
  <c r="AD30" i="7"/>
  <c r="AG30" i="7"/>
  <c r="AJ30" i="7"/>
  <c r="AM30" i="7"/>
  <c r="AP30" i="7"/>
  <c r="AS30" i="7"/>
  <c r="AV30" i="7"/>
  <c r="AY30" i="7"/>
  <c r="BB30" i="7"/>
  <c r="AA39" i="7"/>
  <c r="AD39" i="7"/>
  <c r="AG39" i="7"/>
  <c r="AJ39" i="7"/>
  <c r="AM39" i="7"/>
  <c r="AP39" i="7"/>
  <c r="AS39" i="7"/>
  <c r="AV39" i="7"/>
  <c r="AY39" i="7"/>
  <c r="BB39" i="7"/>
  <c r="BD39" i="7"/>
  <c r="BD29" i="7"/>
  <c r="AA29" i="7"/>
  <c r="AD29" i="7"/>
  <c r="AG29" i="7"/>
  <c r="AJ29" i="7"/>
  <c r="AM29" i="7"/>
  <c r="AP29" i="7"/>
  <c r="AS29" i="7"/>
  <c r="AV29" i="7"/>
  <c r="AY29" i="7"/>
  <c r="BB29" i="7"/>
  <c r="BD36" i="7"/>
  <c r="AA36" i="7"/>
  <c r="AD36" i="7"/>
  <c r="AG36" i="7"/>
  <c r="AJ36" i="7"/>
  <c r="AM36" i="7"/>
  <c r="AP36" i="7"/>
  <c r="AS36" i="7"/>
  <c r="AV36" i="7"/>
  <c r="AY36" i="7"/>
  <c r="BB36" i="7"/>
  <c r="BD54" i="7"/>
  <c r="AA54" i="7"/>
  <c r="AD54" i="7"/>
  <c r="AG54" i="7"/>
  <c r="AJ54" i="7"/>
  <c r="AM54" i="7"/>
  <c r="AP54" i="7"/>
  <c r="AS54" i="7"/>
  <c r="AV54" i="7"/>
  <c r="AY54" i="7"/>
  <c r="BB54" i="7"/>
  <c r="BD40" i="7"/>
  <c r="AA40" i="7"/>
  <c r="BD28" i="7"/>
  <c r="AA28" i="7"/>
  <c r="AD28" i="7"/>
  <c r="AG28" i="7"/>
  <c r="AJ28" i="7"/>
  <c r="BD26" i="7"/>
  <c r="AA26" i="7"/>
  <c r="AD26" i="7"/>
  <c r="AG26" i="7"/>
  <c r="AJ26" i="7"/>
  <c r="AM26" i="7"/>
  <c r="AA41" i="7"/>
  <c r="AD41" i="7"/>
  <c r="AG41" i="7"/>
  <c r="AJ41" i="7"/>
  <c r="AM41" i="7"/>
  <c r="AP41" i="7"/>
  <c r="AS41" i="7"/>
  <c r="AV41" i="7"/>
  <c r="AY41" i="7"/>
  <c r="BB41" i="7"/>
  <c r="AA43" i="7"/>
  <c r="AD43" i="7"/>
  <c r="AG43" i="7"/>
  <c r="AJ43" i="7"/>
  <c r="BD44" i="7"/>
  <c r="AA44" i="7"/>
  <c r="AD44" i="7"/>
  <c r="BD27" i="7"/>
  <c r="AA27" i="7"/>
  <c r="AD27" i="7"/>
  <c r="AG27" i="7"/>
  <c r="AJ27" i="7"/>
  <c r="AM27" i="7"/>
  <c r="AP27" i="7"/>
  <c r="AS27" i="7"/>
  <c r="AV27" i="7"/>
  <c r="AY27" i="7"/>
  <c r="BB27" i="7"/>
  <c r="AA33" i="7"/>
  <c r="AD33" i="7"/>
  <c r="AG33" i="7"/>
  <c r="AJ33" i="7"/>
  <c r="AM33" i="7"/>
  <c r="AP33" i="7"/>
  <c r="AS33" i="7"/>
  <c r="AV33" i="7"/>
  <c r="AY33" i="7"/>
  <c r="BB33" i="7"/>
  <c r="AA8" i="7"/>
  <c r="AD8" i="7"/>
  <c r="AG8" i="7"/>
  <c r="AJ8" i="7"/>
  <c r="AM8" i="7"/>
  <c r="AP8" i="7"/>
  <c r="AS8" i="7"/>
  <c r="AV8" i="7"/>
  <c r="AY8" i="7"/>
  <c r="BB8" i="7"/>
  <c r="BD37" i="7"/>
  <c r="BD33" i="7"/>
  <c r="AP15" i="7"/>
  <c r="AS15" i="7"/>
  <c r="AV15" i="7"/>
  <c r="AY15" i="7"/>
  <c r="AA63" i="7"/>
  <c r="AD63" i="7"/>
  <c r="BD61" i="7"/>
  <c r="AA61" i="7"/>
  <c r="AD61" i="7"/>
  <c r="AG61" i="7"/>
  <c r="AJ61" i="7"/>
  <c r="AM61" i="7"/>
  <c r="AP61" i="7"/>
  <c r="AS61" i="7"/>
  <c r="AV61" i="7"/>
  <c r="AY61" i="7"/>
  <c r="BB61" i="7"/>
  <c r="BD50" i="7"/>
  <c r="AA50" i="7"/>
  <c r="AD50" i="7"/>
  <c r="AG50" i="7"/>
  <c r="AJ50" i="7"/>
  <c r="AM50" i="7"/>
  <c r="AP50" i="7"/>
  <c r="AS50" i="7"/>
  <c r="AV50" i="7"/>
  <c r="AY50" i="7"/>
  <c r="BB50" i="7"/>
  <c r="BD24" i="7"/>
  <c r="AA24" i="7"/>
  <c r="AD24" i="7"/>
  <c r="AG24" i="7"/>
  <c r="AJ24" i="7"/>
  <c r="AM24" i="7"/>
  <c r="AP24" i="7"/>
  <c r="AS24" i="7"/>
  <c r="AV24" i="7"/>
  <c r="AY24" i="7"/>
  <c r="BB24" i="7"/>
  <c r="G64" i="7"/>
  <c r="AS64" i="7"/>
  <c r="AV64" i="7"/>
  <c r="AY64" i="7"/>
  <c r="BB64" i="7"/>
  <c r="AA37" i="7"/>
  <c r="AD37" i="7"/>
  <c r="AG37" i="7"/>
  <c r="AJ37" i="7"/>
  <c r="AM37" i="7"/>
  <c r="AP37" i="7"/>
  <c r="AS37" i="7"/>
  <c r="AV37" i="7"/>
  <c r="AY37" i="7"/>
  <c r="BB37" i="7"/>
  <c r="AG63" i="7"/>
  <c r="AJ63" i="7"/>
  <c r="BD63" i="7"/>
  <c r="AM63" i="7"/>
  <c r="AP63" i="7"/>
  <c r="AS63" i="7"/>
  <c r="AV63" i="7"/>
  <c r="AY63" i="7"/>
  <c r="BB63" i="7"/>
  <c r="BD15" i="7"/>
  <c r="AJ15" i="7"/>
  <c r="AM15" i="7"/>
  <c r="AA15" i="7"/>
  <c r="AD15" i="7"/>
  <c r="AG15" i="7"/>
  <c r="BB15" i="7"/>
  <c r="AA64" i="7"/>
  <c r="AD64" i="7"/>
  <c r="AG64" i="7"/>
  <c r="AJ64" i="7"/>
  <c r="AM64" i="7"/>
  <c r="AP64" i="7"/>
  <c r="BD64" i="7"/>
  <c r="Z6" i="7"/>
  <c r="AC6" i="7"/>
  <c r="AF6" i="7"/>
  <c r="AI6" i="7"/>
  <c r="AL6" i="7"/>
  <c r="AO6" i="7"/>
  <c r="AR6" i="7"/>
  <c r="AU6" i="7"/>
  <c r="AX6" i="7"/>
  <c r="BA6" i="7"/>
  <c r="K6" i="7"/>
  <c r="L6" i="7"/>
  <c r="M1" i="7"/>
  <c r="O66" i="7"/>
  <c r="R66" i="7"/>
  <c r="U66" i="7"/>
  <c r="X66" i="7"/>
  <c r="J70" i="7"/>
  <c r="A19" i="8"/>
  <c r="BD65" i="7"/>
  <c r="I70" i="7"/>
  <c r="M70" i="7"/>
  <c r="P70" i="7"/>
  <c r="S70" i="7"/>
  <c r="V70" i="7"/>
  <c r="Y70" i="7"/>
  <c r="AB70" i="7"/>
  <c r="AE70" i="7"/>
  <c r="AH70" i="7"/>
  <c r="AK70" i="7"/>
  <c r="AN70" i="7"/>
  <c r="AQ70" i="7"/>
  <c r="AT70" i="7"/>
  <c r="AW70" i="7"/>
  <c r="AZ70" i="7"/>
  <c r="AA66" i="7"/>
  <c r="AD66" i="7"/>
  <c r="AG66" i="7"/>
  <c r="AJ66" i="7"/>
  <c r="AM66" i="7"/>
  <c r="AP66" i="7"/>
  <c r="AS66" i="7"/>
  <c r="AV66" i="7"/>
  <c r="AY66" i="7"/>
  <c r="BB66" i="7"/>
  <c r="Y1" i="7"/>
  <c r="AB1" i="7"/>
  <c r="AE1" i="7"/>
  <c r="AH1" i="7"/>
  <c r="AK1" i="7"/>
  <c r="AN1" i="7"/>
  <c r="AQ1" i="7"/>
  <c r="AT1" i="7"/>
  <c r="AW1" i="7"/>
  <c r="AZ1" i="7"/>
  <c r="Z70" i="7"/>
  <c r="AC70" i="7"/>
  <c r="N6" i="7"/>
  <c r="Q6" i="7"/>
  <c r="T6" i="7"/>
  <c r="W6" i="7"/>
  <c r="AF70" i="7"/>
  <c r="K70" i="7"/>
  <c r="E20" i="8"/>
  <c r="E36" i="8"/>
  <c r="P1" i="7"/>
  <c r="F20" i="8"/>
  <c r="N70" i="7"/>
  <c r="O6" i="7"/>
  <c r="R6" i="7"/>
  <c r="AI70" i="7"/>
  <c r="E23" i="8"/>
  <c r="E24" i="8"/>
  <c r="E22" i="8"/>
  <c r="E31" i="8"/>
  <c r="E37" i="8"/>
  <c r="E35" i="8"/>
  <c r="S1" i="7"/>
  <c r="G20" i="8"/>
  <c r="F23" i="8"/>
  <c r="F22" i="8"/>
  <c r="F36" i="8"/>
  <c r="Q70" i="7"/>
  <c r="F31" i="8"/>
  <c r="W70" i="7"/>
  <c r="T70" i="7"/>
  <c r="F37" i="8"/>
  <c r="F35" i="8"/>
  <c r="U6" i="7"/>
  <c r="F24" i="8"/>
  <c r="F27" i="8"/>
  <c r="F28" i="8"/>
  <c r="AL70" i="7"/>
  <c r="V1" i="7"/>
  <c r="H20" i="8"/>
  <c r="G22" i="8"/>
  <c r="G23" i="8"/>
  <c r="G24" i="8"/>
  <c r="E25" i="8"/>
  <c r="E27" i="8"/>
  <c r="E28" i="8"/>
  <c r="F25" i="8"/>
  <c r="G36" i="8"/>
  <c r="G37" i="8"/>
  <c r="G35" i="8"/>
  <c r="G31" i="8"/>
  <c r="X6" i="7"/>
  <c r="AO70" i="7"/>
  <c r="G25" i="8"/>
  <c r="I20" i="8"/>
  <c r="G27" i="8"/>
  <c r="G28" i="8"/>
  <c r="H23" i="8"/>
  <c r="H24" i="8"/>
  <c r="H27" i="8"/>
  <c r="H22" i="8"/>
  <c r="H25" i="8"/>
  <c r="H37" i="8"/>
  <c r="H36" i="8"/>
  <c r="H31" i="8"/>
  <c r="H35" i="8"/>
  <c r="H28" i="8"/>
  <c r="AR70" i="7"/>
  <c r="I37" i="8"/>
  <c r="I23" i="8"/>
  <c r="I24" i="8"/>
  <c r="I27" i="8"/>
  <c r="I22" i="8"/>
  <c r="I31" i="8"/>
  <c r="I35" i="8"/>
  <c r="I36" i="8"/>
  <c r="I28" i="8"/>
  <c r="AU70" i="7"/>
  <c r="I25" i="8"/>
  <c r="BD6" i="7"/>
  <c r="BA70" i="7"/>
  <c r="AX70" i="7"/>
  <c r="AA6" i="7"/>
  <c r="AD6" i="7"/>
  <c r="AG6" i="7"/>
  <c r="AJ6" i="7"/>
  <c r="AM6" i="7"/>
  <c r="AP6" i="7"/>
  <c r="AS6" i="7"/>
  <c r="AV6" i="7"/>
  <c r="AY6" i="7"/>
  <c r="BB6" i="7"/>
  <c r="I33" i="8"/>
  <c r="I29" i="8"/>
  <c r="G33" i="8"/>
  <c r="G32" i="8"/>
  <c r="H33" i="8"/>
  <c r="E33" i="8"/>
  <c r="F33" i="8"/>
  <c r="AA70" i="7"/>
  <c r="I32" i="8"/>
  <c r="G29" i="8"/>
  <c r="H29" i="8"/>
  <c r="H32" i="8"/>
  <c r="E29" i="8"/>
  <c r="E32" i="8"/>
  <c r="F29" i="8"/>
  <c r="F32" i="8"/>
  <c r="AD70" i="7"/>
  <c r="AG70" i="7"/>
  <c r="AJ70" i="7"/>
  <c r="AM70" i="7"/>
  <c r="AP70" i="7"/>
  <c r="AS70" i="7"/>
  <c r="AV70" i="7"/>
  <c r="AY70" i="7"/>
  <c r="BB70" i="7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<sst xmlns="http://schemas.openxmlformats.org/spreadsheetml/2006/main" count="265" uniqueCount="111">
  <si>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</si>
  <si>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</si>
  <si>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</si>
  <si>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</si>
  <si>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</si>
  <si>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</si>
  <si>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</si>
  <si>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</si>
  <si>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</si>
  <si>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</si>
  <si>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</si>
  <si>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</si>
  <si>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</si>
  <si>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</si>
  <si>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</si>
  <si>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</si>
  <si>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</si>
  <si>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</si>
  <si>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</si>
  <si>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</si>
  <si>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</si>
  <si>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</si>
  <si>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</si>
  <si>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</si>
  <si>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</si>
  <si>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</si>
  <si>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</si>
  <si>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</si>
  <si>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</si>
  <si>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</si>
  <si>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</si>
  <si>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</si>
  <si>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Sprint Team</t>
  </si>
  <si>
    <t>unassigned</t>
  </si>
  <si>
    <t>.</t>
  </si>
  <si>
    <t>Sprint Vision:</t>
  </si>
  <si>
    <t>Day 1</t>
  </si>
  <si>
    <t>Day 2</t>
  </si>
  <si>
    <t>Day 3</t>
  </si>
  <si>
    <t>Day 4</t>
  </si>
  <si>
    <t>Day 5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</si>
  <si>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</si>
  <si>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</si>
  <si>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</si>
  <si>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</si>
  <si>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</si>
  <si>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</si>
  <si>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</si>
  <si>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</si>
  <si>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</si>
  <si>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</si>
  <si>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</si>
  <si>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</si>
  <si>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</si>
  <si>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</si>
  <si>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</si>
  <si>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</si>
  <si>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</si>
  <si>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</si>
  <si>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</si>
  <si>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</si>
  <si>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</si>
  <si>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</si>
  <si>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</si>
  <si>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</si>
  <si>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</si>
  <si>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</si>
  <si>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</si>
  <si>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</si>
  <si>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</si>
  <si>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</si>
  <si>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</si>
  <si>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</si>
  <si>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Complete</t>
  </si>
  <si>
    <t>In Progress</t>
  </si>
  <si>
    <t>Email</t>
  </si>
  <si>
    <t>Unassigned</t>
  </si>
  <si>
    <t>A user can view a list of options/Procedures</t>
  </si>
  <si>
    <t>Load Data into database</t>
  </si>
  <si>
    <t>Lachlan</t>
  </si>
  <si>
    <t>Cameron</t>
  </si>
  <si>
    <t>Nicole</t>
  </si>
  <si>
    <t>Design code to Obtain correct results</t>
  </si>
  <si>
    <t>In progress</t>
  </si>
  <si>
    <t>Developers can Design GUIs for all screens</t>
  </si>
  <si>
    <t>Search Page</t>
  </si>
  <si>
    <t>Results page</t>
  </si>
  <si>
    <t>Edit Page</t>
  </si>
  <si>
    <t>Login Page</t>
  </si>
  <si>
    <t>Results are displayed in UI</t>
  </si>
  <si>
    <t>A user can Search For a procedure</t>
  </si>
  <si>
    <t>Query Design</t>
  </si>
  <si>
    <t>Program Integration</t>
  </si>
  <si>
    <t>UI Integration</t>
  </si>
  <si>
    <t>A user can sort the list of procedures</t>
  </si>
  <si>
    <t>Program integration</t>
  </si>
  <si>
    <t>UI Intergration</t>
  </si>
  <si>
    <t xml:space="preserve">User can restrict search seach based on price </t>
  </si>
  <si>
    <t>=(INDEX(Burndown,ROW(G21)-ROW(G$3),MIN(TODAY()-SprintStart,29)*3+3))</t>
  </si>
  <si>
    <t>Steven</t>
  </si>
  <si>
    <t>A user can search For a procedure with a  procedure Code</t>
  </si>
  <si>
    <t>Andrew/Nicole</t>
  </si>
  <si>
    <t xml:space="preserve">Andrew/Nicole </t>
  </si>
  <si>
    <t xml:space="preserve">Lachlan </t>
  </si>
  <si>
    <t>IN Progress</t>
  </si>
  <si>
    <t>Developers Can research how to calcualte distance between 2 points</t>
  </si>
  <si>
    <t>Find solution</t>
  </si>
  <si>
    <t>Implement Solution</t>
  </si>
  <si>
    <t>Andrew</t>
  </si>
  <si>
    <t>Lachlan Dow</t>
  </si>
  <si>
    <t xml:space="preserve">Steven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</si>
</sst>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\-mmm\-yy;@"/>
    <numFmt numFmtId="165" formatCode="0.0"/>
    <numFmt numFmtId="169" formatCode="[$-F800]dddd\,\ mmmm\ dd\,\ yyyy"/>
  </numFmts>
  <fonts count="42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43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95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33" fillId="21" borderId="0" xfId="0" applyFont="1" applyFill="1"/>
    <xf numFmtId="0" fontId="33" fillId="24" borderId="14" xfId="0" applyFont="1" applyFill="1" applyBorder="1" applyAlignment="1">
      <alignment horizontal="center"/>
    </xf>
    <xf numFmtId="0" fontId="33" fillId="24" borderId="15" xfId="0" applyFont="1" applyFill="1" applyBorder="1" applyAlignment="1">
      <alignment horizontal="left"/>
    </xf>
    <xf numFmtId="0" fontId="33" fillId="24" borderId="16" xfId="0" applyFont="1" applyFill="1" applyBorder="1" applyAlignment="1">
      <alignment horizontal="center"/>
    </xf>
    <xf numFmtId="0" fontId="33" fillId="24" borderId="17" xfId="0" applyFont="1" applyFill="1" applyBorder="1" applyAlignment="1">
      <alignment horizontal="center"/>
    </xf>
    <xf numFmtId="0" fontId="33" fillId="24" borderId="18" xfId="0" applyFont="1" applyFill="1" applyBorder="1" applyAlignment="1">
      <alignment horizontal="center"/>
    </xf>
    <xf numFmtId="0" fontId="33" fillId="24" borderId="19" xfId="0" applyFont="1" applyFill="1" applyBorder="1" applyAlignment="1">
      <alignment horizontal="center"/>
    </xf>
    <xf numFmtId="0" fontId="33" fillId="24" borderId="20" xfId="0" applyFont="1" applyFill="1" applyBorder="1" applyAlignment="1">
      <alignment horizontal="left"/>
    </xf>
    <xf numFmtId="0" fontId="33" fillId="24" borderId="20" xfId="0" applyFont="1" applyFill="1" applyBorder="1" applyAlignment="1">
      <alignment horizontal="center"/>
    </xf>
    <xf numFmtId="0" fontId="33" fillId="24" borderId="21" xfId="0" applyFont="1" applyFill="1" applyBorder="1" applyAlignment="1">
      <alignment horizontal="center"/>
    </xf>
    <xf numFmtId="0" fontId="33" fillId="24" borderId="22" xfId="0" applyFont="1" applyFill="1" applyBorder="1" applyAlignment="1">
      <alignment horizontal="center"/>
    </xf>
    <xf numFmtId="0" fontId="21" fillId="24" borderId="23" xfId="0" applyFont="1" applyFill="1" applyBorder="1" applyAlignment="1">
      <alignment horizontal="left"/>
    </xf>
    <xf numFmtId="0" fontId="21" fillId="24" borderId="24" xfId="0" applyFont="1" applyFill="1" applyBorder="1" applyAlignment="1">
      <alignment horizontal="left"/>
    </xf>
    <xf numFmtId="0" fontId="21" fillId="24" borderId="25" xfId="0" applyFont="1" applyFill="1" applyBorder="1" applyAlignment="1">
      <alignment horizontal="left"/>
    </xf>
    <xf numFmtId="0" fontId="21" fillId="0" borderId="26" xfId="0" applyFont="1" applyFill="1" applyBorder="1"/>
    <xf numFmtId="0" fontId="21" fillId="0" borderId="27" xfId="0" applyFont="1" applyFill="1" applyBorder="1" applyAlignment="1">
      <alignment horizontal="left" vertical="top"/>
    </xf>
    <xf numFmtId="0" fontId="21" fillId="0" borderId="28" xfId="0" applyFont="1" applyFill="1" applyBorder="1" applyAlignment="1">
      <alignment horizontal="left"/>
    </xf>
    <xf numFmtId="0" fontId="21" fillId="0" borderId="28" xfId="36" applyFont="1" applyFill="1" applyBorder="1" applyAlignment="1" applyProtection="1">
      <alignment horizontal="left" wrapText="1"/>
    </xf>
    <xf numFmtId="0" fontId="21" fillId="0" borderId="29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5" fillId="20" borderId="0" xfId="0" applyFont="1" applyFill="1" applyBorder="1"/>
    <xf numFmtId="0" fontId="34" fillId="0" borderId="0" xfId="0" applyFont="1" applyFill="1" applyBorder="1"/>
    <xf numFmtId="0" fontId="34" fillId="0" borderId="0" xfId="0" applyFont="1" applyBorder="1"/>
    <xf numFmtId="0" fontId="34" fillId="0" borderId="0" xfId="0" applyFont="1"/>
    <xf numFmtId="0" fontId="36" fillId="0" borderId="0" xfId="0" applyFont="1" applyBorder="1"/>
    <xf numFmtId="9" fontId="37" fillId="0" borderId="0" xfId="0" applyNumberFormat="1" applyFont="1" applyBorder="1"/>
    <xf numFmtId="0" fontId="37" fillId="0" borderId="0" xfId="0" applyFont="1" applyBorder="1"/>
    <xf numFmtId="0" fontId="37" fillId="0" borderId="0" xfId="0" applyFont="1" applyFill="1" applyBorder="1"/>
    <xf numFmtId="164" fontId="37" fillId="0" borderId="0" xfId="0" applyNumberFormat="1" applyFont="1" applyBorder="1"/>
    <xf numFmtId="0" fontId="37" fillId="0" borderId="0" xfId="0" applyFont="1"/>
    <xf numFmtId="0" fontId="38" fillId="0" borderId="0" xfId="0" applyFont="1" applyBorder="1"/>
    <xf numFmtId="0" fontId="36" fillId="0" borderId="0" xfId="0" applyFont="1"/>
    <xf numFmtId="165" fontId="37" fillId="0" borderId="0" xfId="0" applyNumberFormat="1" applyFont="1" applyBorder="1"/>
    <xf numFmtId="164" fontId="37" fillId="0" borderId="0" xfId="0" applyNumberFormat="1" applyFont="1"/>
    <xf numFmtId="1" fontId="37" fillId="0" borderId="0" xfId="0" applyNumberFormat="1" applyFont="1"/>
    <xf numFmtId="0" fontId="39" fillId="0" borderId="0" xfId="0" applyFont="1"/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4" fillId="0" borderId="0" xfId="0" applyFont="1" applyAlignment="1"/>
    <xf numFmtId="0" fontId="25" fillId="0" borderId="0" xfId="0" applyFont="1" applyAlignment="1"/>
    <xf numFmtId="1" fontId="33" fillId="20" borderId="0" xfId="0" applyNumberFormat="1" applyFont="1" applyFill="1" applyBorder="1"/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44"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5F-4A3F-83ED-0208B2BEFBE5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5F-4A3F-83ED-0208B2BEFBE5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5F-4A3F-83ED-0208B2BEF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65472"/>
        <c:axId val="196267392"/>
      </c:areaChart>
      <c:catAx>
        <c:axId val="19626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7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626739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9626739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96265472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413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4"/>
          <c:y val="0.17669172932330818"/>
          <c:w val="0.87100657289633654"/>
          <c:h val="0.46992481203007752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9-4FE2-8C71-9E2A6E001BFA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9-4FE2-8C71-9E2A6E001BFA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9-4FE2-8C71-9E2A6E001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31840"/>
        <c:axId val="219738112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39-4FE2-8C71-9E2A6E001BFA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3F39-4FE2-8C71-9E2A6E001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731840"/>
        <c:axId val="219738112"/>
      </c:lineChart>
      <c:catAx>
        <c:axId val="219731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1973811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2197381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0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19731840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C74"/>
  <sheetViews>
    <sheetView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S35" sqref="S35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51.42578125" style="6" bestFit="1" customWidth="1"/>
    <col min="4" max="4" width="6" style="6" customWidth="1"/>
    <col min="5" max="5" width="65.85546875" style="6" customWidth="1"/>
    <col min="6" max="6" width="9" style="6" bestFit="1" customWidth="1"/>
    <col min="7" max="7" width="10.85546875" style="6" customWidth="1"/>
    <col min="8" max="8" width="5.28515625" style="6" bestFit="1" customWidth="1"/>
    <col min="9" max="9" width="4.28515625" style="6" customWidth="1"/>
    <col min="10" max="11" width="3.28515625" style="74" customWidth="1"/>
    <col min="12" max="12" width="2.42578125" style="6" customWidth="1"/>
    <col min="13" max="14" width="3.28515625" style="6" customWidth="1"/>
    <col min="15" max="15" width="6.42578125" style="6" bestFit="1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4" width="3.28515625" style="6" customWidth="1"/>
    <col min="25" max="26" width="3.28515625" style="6" hidden="1" customWidth="1" outlineLevel="1"/>
    <col min="27" max="27" width="2.42578125" style="6" hidden="1" customWidth="1" outlineLevel="1"/>
    <col min="28" max="29" width="3.28515625" style="6" hidden="1" customWidth="1" outlineLevel="1"/>
    <col min="30" max="30" width="2.42578125" style="6" hidden="1" customWidth="1" outlineLevel="1"/>
    <col min="31" max="32" width="3.28515625" style="6" hidden="1" customWidth="1" outlineLevel="1"/>
    <col min="33" max="33" width="2.42578125" style="6" hidden="1" customWidth="1" outlineLevel="1"/>
    <col min="34" max="35" width="3.28515625" style="6" hidden="1" customWidth="1" outlineLevel="1"/>
    <col min="36" max="36" width="2.42578125" style="6" hidden="1" customWidth="1" outlineLevel="1"/>
    <col min="37" max="38" width="3.28515625" style="6" hidden="1" customWidth="1" outlineLevel="1"/>
    <col min="39" max="39" width="2.42578125" style="6" hidden="1" customWidth="1" outlineLevel="1"/>
    <col min="40" max="41" width="3.28515625" style="6" hidden="1" customWidth="1" outlineLevel="1"/>
    <col min="42" max="42" width="2.42578125" style="6" hidden="1" customWidth="1" outlineLevel="1"/>
    <col min="43" max="44" width="3.28515625" style="6" hidden="1" customWidth="1" outlineLevel="1"/>
    <col min="45" max="45" width="2.42578125" style="6" hidden="1" customWidth="1" outlineLevel="1"/>
    <col min="46" max="47" width="3.28515625" style="6" hidden="1" customWidth="1" outlineLevel="1"/>
    <col min="48" max="48" width="2.42578125" style="6" hidden="1" customWidth="1" outlineLevel="1"/>
    <col min="49" max="50" width="3.28515625" style="6" hidden="1" customWidth="1" outlineLevel="1"/>
    <col min="51" max="51" width="2.42578125" style="6" hidden="1" customWidth="1" outlineLevel="1"/>
    <col min="52" max="53" width="3.28515625" style="6" hidden="1" customWidth="1" outlineLevel="1"/>
    <col min="54" max="54" width="2.42578125" style="6" hidden="1" customWidth="1" outlineLevel="1"/>
    <col min="55" max="55" width="0.28515625" style="6" customWidth="1" collapsed="1"/>
    <col min="56" max="56" width="14.42578125" style="6" customWidth="1"/>
    <col min="57" max="16384" width="9.140625" style="6"/>
  </cols>
  <sheetData>
    <row r="1" spans="1:56" x14ac:dyDescent="0.2">
      <c r="A1" s="1"/>
      <c r="B1" s="1"/>
      <c r="C1" s="1"/>
      <c r="D1" s="1"/>
      <c r="E1" s="2"/>
      <c r="F1" s="3" t="s">
        <v>23</v>
      </c>
      <c r="G1" s="4" t="e">
        <f>SprintStart</f>
        <v>#REF!</v>
      </c>
      <c r="H1" s="1"/>
      <c r="I1" s="1"/>
      <c r="J1" s="90" t="e">
        <f>SprintStart</f>
        <v>#REF!</v>
      </c>
      <c r="K1" s="90"/>
      <c r="L1" s="90"/>
      <c r="M1" s="90" t="e">
        <f>IF(AND(SkipWeekends, WEEKDAY(J1)=6),J1+3, J1+1)</f>
        <v>#REF!</v>
      </c>
      <c r="N1" s="90"/>
      <c r="O1" s="90"/>
      <c r="P1" s="90" t="e">
        <f>IF(AND(SkipWeekends, WEEKDAY(M1)=6),M1+3, M1+1)</f>
        <v>#REF!</v>
      </c>
      <c r="Q1" s="90"/>
      <c r="R1" s="90"/>
      <c r="S1" s="90" t="e">
        <f>IF(AND(SkipWeekends, WEEKDAY(P1)=6),P1+3, P1+1)</f>
        <v>#REF!</v>
      </c>
      <c r="T1" s="90"/>
      <c r="U1" s="90"/>
      <c r="V1" s="90" t="e">
        <f>IF(AND(SkipWeekends, WEEKDAY(S1)=6),S1+3, S1+1)</f>
        <v>#REF!</v>
      </c>
      <c r="W1" s="90"/>
      <c r="X1" s="90"/>
      <c r="Y1" s="90" t="e">
        <f>IF(AND(SkipWeekends, WEEKDAY(#REF!)=6),#REF!+3,#REF!+ 1)</f>
        <v>#REF!</v>
      </c>
      <c r="Z1" s="90"/>
      <c r="AA1" s="90"/>
      <c r="AB1" s="90" t="e">
        <f>IF(AND(SkipWeekends, WEEKDAY(Y1)=6),Y1+3, Y1+1)</f>
        <v>#REF!</v>
      </c>
      <c r="AC1" s="90"/>
      <c r="AD1" s="90"/>
      <c r="AE1" s="90" t="e">
        <f>IF(AND(SkipWeekends, WEEKDAY(AB1)=6),AB1+3, AB1+1)</f>
        <v>#REF!</v>
      </c>
      <c r="AF1" s="90"/>
      <c r="AG1" s="90"/>
      <c r="AH1" s="90" t="e">
        <f>IF(AND(SkipWeekends, WEEKDAY(AE1)=6),AE1+3, AE1+1)</f>
        <v>#REF!</v>
      </c>
      <c r="AI1" s="90"/>
      <c r="AJ1" s="90"/>
      <c r="AK1" s="90" t="e">
        <f>IF(AND(SkipWeekends, WEEKDAY(AH1)=6),AH1+3, AH1+1)</f>
        <v>#REF!</v>
      </c>
      <c r="AL1" s="90"/>
      <c r="AM1" s="90"/>
      <c r="AN1" s="90" t="e">
        <f>IF(AND(SkipWeekends, WEEKDAY(AK1)=6),AK1+3, AK1+1)</f>
        <v>#REF!</v>
      </c>
      <c r="AO1" s="90"/>
      <c r="AP1" s="90"/>
      <c r="AQ1" s="90" t="e">
        <f>IF(AND(SkipWeekends, WEEKDAY(AN1)=6),AN1+3, AN1+1)</f>
        <v>#REF!</v>
      </c>
      <c r="AR1" s="90"/>
      <c r="AS1" s="90"/>
      <c r="AT1" s="90" t="e">
        <f>IF(AND(SkipWeekends, WEEKDAY(AQ1)=6),AQ1+3, AQ1+1)</f>
        <v>#REF!</v>
      </c>
      <c r="AU1" s="90"/>
      <c r="AV1" s="90"/>
      <c r="AW1" s="90" t="e">
        <f>IF(AND(SkipWeekends, WEEKDAY(AT1)=6),AT1+3, AT1+1)</f>
        <v>#REF!</v>
      </c>
      <c r="AX1" s="90"/>
      <c r="AY1" s="90"/>
      <c r="AZ1" s="90" t="e">
        <f>IF(AND(SkipWeekends, WEEKDAY(AW1)=6),AW1+3, AW1+1)</f>
        <v>#REF!</v>
      </c>
      <c r="BA1" s="90"/>
      <c r="BB1" s="90"/>
      <c r="BC1" s="5"/>
      <c r="BD1" s="1"/>
    </row>
    <row r="2" spans="1:56" x14ac:dyDescent="0.2">
      <c r="A2" s="1"/>
      <c r="B2" s="1"/>
      <c r="C2" s="1"/>
      <c r="D2" s="1"/>
      <c r="E2" s="7"/>
      <c r="F2" s="8"/>
      <c r="G2" s="9"/>
      <c r="H2" s="1"/>
      <c r="I2" s="1"/>
      <c r="J2" s="67"/>
      <c r="K2" s="67" t="s">
        <v>36</v>
      </c>
      <c r="L2" s="10"/>
      <c r="M2" s="10"/>
      <c r="N2" s="10" t="s">
        <v>37</v>
      </c>
      <c r="O2" s="10"/>
      <c r="P2" s="10"/>
      <c r="Q2" s="10" t="s">
        <v>38</v>
      </c>
      <c r="R2" s="10"/>
      <c r="S2" s="10"/>
      <c r="T2" s="10" t="s">
        <v>39</v>
      </c>
      <c r="U2" s="10"/>
      <c r="V2" s="10"/>
      <c r="W2" s="10" t="s">
        <v>40</v>
      </c>
      <c r="X2" s="10"/>
      <c r="Y2" s="10"/>
      <c r="Z2" s="10" t="s">
        <v>41</v>
      </c>
      <c r="AA2" s="10"/>
      <c r="AB2" s="10"/>
      <c r="AC2" s="10" t="s">
        <v>42</v>
      </c>
      <c r="AD2" s="10"/>
      <c r="AE2" s="10"/>
      <c r="AF2" s="10" t="s">
        <v>43</v>
      </c>
      <c r="AG2" s="10"/>
      <c r="AH2" s="10"/>
      <c r="AI2" s="10" t="s">
        <v>44</v>
      </c>
      <c r="AJ2" s="10"/>
      <c r="AK2" s="10"/>
      <c r="AL2" s="10" t="s">
        <v>45</v>
      </c>
      <c r="AM2" s="10"/>
      <c r="AN2" s="10"/>
      <c r="AO2" s="10" t="s">
        <v>46</v>
      </c>
      <c r="AP2" s="10"/>
      <c r="AQ2" s="10"/>
      <c r="AR2" s="10" t="s">
        <v>47</v>
      </c>
      <c r="AS2" s="10"/>
      <c r="AT2" s="10"/>
      <c r="AU2" s="10" t="s">
        <v>48</v>
      </c>
      <c r="AV2" s="10"/>
      <c r="AW2" s="10"/>
      <c r="AX2" s="10" t="s">
        <v>49</v>
      </c>
      <c r="AY2" s="10"/>
      <c r="AZ2" s="10"/>
      <c r="BA2" s="10" t="s">
        <v>50</v>
      </c>
      <c r="BB2" s="10"/>
      <c r="BC2" s="5"/>
      <c r="BD2" s="1"/>
    </row>
    <row r="3" spans="1:56" ht="38.25" customHeight="1" x14ac:dyDescent="0.2">
      <c r="A3" s="11" t="s">
        <v>71</v>
      </c>
      <c r="B3" s="11" t="s">
        <v>72</v>
      </c>
      <c r="C3" s="11" t="s">
        <v>51</v>
      </c>
      <c r="D3" s="11" t="s">
        <v>52</v>
      </c>
      <c r="E3" s="1" t="s">
        <v>53</v>
      </c>
      <c r="F3" s="1" t="s">
        <v>62</v>
      </c>
      <c r="G3" s="1" t="s">
        <v>0</v>
      </c>
      <c r="H3" s="12" t="s">
        <v>1</v>
      </c>
      <c r="I3" s="12" t="s">
        <v>54</v>
      </c>
      <c r="J3" s="68" t="s">
        <v>12</v>
      </c>
      <c r="K3" s="69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4"/>
      <c r="BD3" s="15" t="s">
        <v>30</v>
      </c>
    </row>
    <row r="4" spans="1:56" x14ac:dyDescent="0.2">
      <c r="A4" s="16"/>
      <c r="B4" s="16"/>
      <c r="C4" s="16" t="s">
        <v>77</v>
      </c>
      <c r="D4" s="17"/>
      <c r="E4" s="88" t="s">
        <v>89</v>
      </c>
      <c r="F4" s="18" t="s">
        <v>79</v>
      </c>
      <c r="G4" s="19" t="s">
        <v>73</v>
      </c>
      <c r="H4" s="20">
        <v>1</v>
      </c>
      <c r="I4" s="21">
        <v>4</v>
      </c>
      <c r="J4" s="22"/>
      <c r="K4" s="22">
        <f t="shared" ref="K4" si="0">MAX(I4-J4, 0)</f>
        <v>4</v>
      </c>
      <c r="L4" s="23" t="str">
        <f>IF(SUMPRODUCT($J$67:K$67,$J4:K4)&lt;0.5, "Pending", IF(K4&lt;0.5, "Complete", "In Progress"))</f>
        <v>Pending</v>
      </c>
      <c r="M4" s="22">
        <v>0</v>
      </c>
      <c r="N4" s="22">
        <f t="shared" ref="N4" si="1">MAX(K4-M4,0)</f>
        <v>4</v>
      </c>
      <c r="O4" s="23" t="str">
        <f>IF(SUMPRODUCT($J$67:N$67,$J4:N4)&lt;0.5, "Pending", IF(N4&lt;0.5, "Complete", "In Progress"))</f>
        <v>Pending</v>
      </c>
      <c r="P4" s="22">
        <v>0</v>
      </c>
      <c r="Q4" s="22">
        <f t="shared" ref="Q4" si="2">MAX(N4-P4,0)</f>
        <v>4</v>
      </c>
      <c r="R4" s="23" t="str">
        <f>IF(SUMPRODUCT($J$67:Q$67,$J4:Q4)&lt;0.5, "Pending", IF(Q4&lt;0.5, "Complete", "In Progress"))</f>
        <v>Pending</v>
      </c>
      <c r="S4" s="22">
        <v>0</v>
      </c>
      <c r="T4" s="22">
        <f t="shared" ref="T4" si="3">MAX(Q4-S4,0)</f>
        <v>4</v>
      </c>
      <c r="U4" s="23" t="str">
        <f>IF(SUMPRODUCT($J$67:T$67,$J4:T4)&lt;0.5, "Pending", IF(T4&lt;0.5, "Complete", "In Progress"))</f>
        <v>Pending</v>
      </c>
      <c r="V4" s="22">
        <v>0</v>
      </c>
      <c r="W4" s="22">
        <f t="shared" ref="W4" si="4">MAX(T4-V4,0)</f>
        <v>4</v>
      </c>
      <c r="X4" s="23" t="str">
        <f>IF(SUMPRODUCT($J$67:W$67,$J4:W4)&lt;0.5, "Pending", IF(W4&lt;0.5, "Complete", "In Progress"))</f>
        <v>Pending</v>
      </c>
      <c r="Y4" s="22">
        <v>0</v>
      </c>
      <c r="Z4" s="22" t="e">
        <f>MAX(#REF!-Y4,0)</f>
        <v>#REF!</v>
      </c>
      <c r="AA4" s="23" t="e">
        <f>IF(SUMPRODUCT($J$67:Z$67,$J4:Z4)&lt;0.5, "Pending", IF(Z4&lt;0.5, "Complete", "In Progress"))</f>
        <v>#REF!</v>
      </c>
      <c r="AB4" s="22">
        <v>0</v>
      </c>
      <c r="AC4" s="22" t="e">
        <f t="shared" ref="AC4" si="5">MAX(Z4-AB4,0)</f>
        <v>#REF!</v>
      </c>
      <c r="AD4" s="23" t="e">
        <f>IF(SUMPRODUCT($J$67:AC$67,$J4:AC4)&lt;0.5, "Pending", IF(AC4&lt;0.5, "Complete", "In Progress"))</f>
        <v>#REF!</v>
      </c>
      <c r="AE4" s="22">
        <v>0</v>
      </c>
      <c r="AF4" s="22" t="e">
        <f t="shared" ref="AF4" si="6">MAX(AC4-AE4,0)</f>
        <v>#REF!</v>
      </c>
      <c r="AG4" s="23" t="e">
        <f>IF(SUMPRODUCT($J$67:AF$67,$J4:AF4)&lt;0.5, "Pending", IF(AF4&lt;0.5, "Complete", "In Progress"))</f>
        <v>#REF!</v>
      </c>
      <c r="AH4" s="22">
        <v>0</v>
      </c>
      <c r="AI4" s="22" t="e">
        <f t="shared" ref="AI4" si="7">MAX(AF4-AH4,0)</f>
        <v>#REF!</v>
      </c>
      <c r="AJ4" s="23" t="e">
        <f>IF(SUMPRODUCT($J$67:AI$67,$J4:AI4)&lt;0.5, "Pending", IF(AI4&lt;0.5, "Complete", "In Progress"))</f>
        <v>#REF!</v>
      </c>
      <c r="AK4" s="22">
        <v>0</v>
      </c>
      <c r="AL4" s="22" t="e">
        <f t="shared" ref="AL4" si="8">MAX(AI4-AK4,0)</f>
        <v>#REF!</v>
      </c>
      <c r="AM4" s="23" t="e">
        <f>IF(SUMPRODUCT($J$67:AL$67,$J4:AL4)&lt;0.5, "Pending", IF(AL4&lt;0.5, "Complete", "In Progress"))</f>
        <v>#REF!</v>
      </c>
      <c r="AN4" s="22">
        <v>0</v>
      </c>
      <c r="AO4" s="22" t="e">
        <f t="shared" ref="AO4" si="9">MAX(AL4-AN4,0)</f>
        <v>#REF!</v>
      </c>
      <c r="AP4" s="23" t="e">
        <f>IF(SUMPRODUCT($J$67:AO$67,$J4:AO4)&lt;0.5, "Pending", IF(AO4&lt;0.5, "Complete", "In Progress"))</f>
        <v>#REF!</v>
      </c>
      <c r="AQ4" s="22">
        <v>0</v>
      </c>
      <c r="AR4" s="22" t="e">
        <f t="shared" ref="AR4" si="10">MAX(AO4-AQ4,0)</f>
        <v>#REF!</v>
      </c>
      <c r="AS4" s="23" t="e">
        <f>IF(SUMPRODUCT($J$67:AR$67,$J4:AR4)&lt;0.5, "Pending", IF(AR4&lt;0.5, "Complete", "In Progress"))</f>
        <v>#REF!</v>
      </c>
      <c r="AT4" s="22">
        <v>0</v>
      </c>
      <c r="AU4" s="22" t="e">
        <f t="shared" ref="AU4" si="11">MAX(AR4-AT4,0)</f>
        <v>#REF!</v>
      </c>
      <c r="AV4" s="23" t="e">
        <f>IF(SUMPRODUCT($J$67:AU$67,$J4:AU4)&lt;0.5, "Pending", IF(AU4&lt;0.5, "Complete", "In Progress"))</f>
        <v>#REF!</v>
      </c>
      <c r="AW4" s="22">
        <v>0</v>
      </c>
      <c r="AX4" s="22" t="e">
        <f t="shared" ref="AX4" si="12">MAX(AU4-AW4,0)</f>
        <v>#REF!</v>
      </c>
      <c r="AY4" s="23" t="e">
        <f>IF(SUMPRODUCT($J$67:AX$67,$J4:AX4)&lt;0.5, "Pending", IF(AX4&lt;0.5, "Complete", "In Progress"))</f>
        <v>#REF!</v>
      </c>
      <c r="AZ4" s="22">
        <v>0</v>
      </c>
      <c r="BA4" s="22" t="e">
        <f t="shared" ref="BA4" si="13">MAX(AX4-AZ4,0)</f>
        <v>#REF!</v>
      </c>
      <c r="BB4" s="23" t="e">
        <f>IF(SUMPRODUCT($J$67:BA$67,$J4:BA4)&lt;0.5, "Pending", IF(BA4&lt;0.5, "Complete", "In Progress"))</f>
        <v>#REF!</v>
      </c>
      <c r="BC4" s="24"/>
      <c r="BD4" s="25">
        <f>SUMPRODUCT($H$67:X$67,$H4:X4)</f>
        <v>0</v>
      </c>
    </row>
    <row r="5" spans="1:56" x14ac:dyDescent="0.2">
      <c r="A5" s="16"/>
      <c r="B5" s="16"/>
      <c r="C5" s="16"/>
      <c r="D5" s="17"/>
      <c r="E5" s="88" t="s">
        <v>78</v>
      </c>
      <c r="F5" s="18" t="s">
        <v>81</v>
      </c>
      <c r="G5" s="19" t="s">
        <v>73</v>
      </c>
      <c r="H5" s="20">
        <v>1</v>
      </c>
      <c r="I5" s="21">
        <v>12</v>
      </c>
      <c r="J5" s="22">
        <v>7</v>
      </c>
      <c r="K5" s="22">
        <f t="shared" ref="K5" si="14">MAX(I5-J5, 0)</f>
        <v>5</v>
      </c>
      <c r="L5" s="23" t="str">
        <f>IF(SUMPRODUCT($J$67:K$67,$J5:K5)&lt;0.5, "Pending", IF(K5&lt;0.5, "Complete", "In Progress"))</f>
        <v>In Progress</v>
      </c>
      <c r="M5" s="22">
        <v>5</v>
      </c>
      <c r="N5" s="22">
        <f t="shared" ref="N5" si="15">MAX(K5-M5,0)</f>
        <v>0</v>
      </c>
      <c r="O5" s="23" t="str">
        <f>IF(SUMPRODUCT($J$67:N$67,$J5:N5)&lt;0.5, "Pending", IF(N5&lt;0.5, "Complete", "In Progress"))</f>
        <v>Complete</v>
      </c>
      <c r="P5" s="22">
        <v>0</v>
      </c>
      <c r="Q5" s="22">
        <f t="shared" ref="Q5" si="16">MAX(N5-P5,0)</f>
        <v>0</v>
      </c>
      <c r="R5" s="23" t="str">
        <f>IF(SUMPRODUCT($J$67:Q$67,$J5:Q5)&lt;0.5, "Pending", IF(Q5&lt;0.5, "Complete", "In Progress"))</f>
        <v>Complete</v>
      </c>
      <c r="S5" s="22">
        <v>0</v>
      </c>
      <c r="T5" s="22">
        <f t="shared" ref="T5" si="17">MAX(Q5-S5,0)</f>
        <v>0</v>
      </c>
      <c r="U5" s="23" t="str">
        <f>IF(SUMPRODUCT($J$67:T$67,$J5:T5)&lt;0.5, "Pending", IF(T5&lt;0.5, "Complete", "In Progress"))</f>
        <v>Complete</v>
      </c>
      <c r="V5" s="22">
        <v>0</v>
      </c>
      <c r="W5" s="22">
        <f t="shared" ref="W5" si="18">MAX(T5-V5,0)</f>
        <v>0</v>
      </c>
      <c r="X5" s="23" t="str">
        <f>IF(SUMPRODUCT($J$67:W$67,$J5:W5)&lt;0.5, "Pending", IF(W5&lt;0.5, "Complete", "In Progress"))</f>
        <v>Complete</v>
      </c>
      <c r="Y5" s="22">
        <v>0</v>
      </c>
      <c r="Z5" s="22" t="e">
        <f>MAX(#REF!-Y5,0)</f>
        <v>#REF!</v>
      </c>
      <c r="AA5" s="23" t="e">
        <f>IF(SUMPRODUCT($J$67:Z$67,$J5:Z5)&lt;0.5, "Pending", IF(Z5&lt;0.5, "Complete", "In Progress"))</f>
        <v>#REF!</v>
      </c>
      <c r="AB5" s="22">
        <v>0</v>
      </c>
      <c r="AC5" s="22" t="e">
        <f t="shared" ref="AC5" si="19">MAX(Z5-AB5,0)</f>
        <v>#REF!</v>
      </c>
      <c r="AD5" s="23" t="e">
        <f>IF(SUMPRODUCT($J$67:AC$67,$J5:AC5)&lt;0.5, "Pending", IF(AC5&lt;0.5, "Complete", "In Progress"))</f>
        <v>#REF!</v>
      </c>
      <c r="AE5" s="22">
        <v>0</v>
      </c>
      <c r="AF5" s="22" t="e">
        <f t="shared" ref="AF5" si="20">MAX(AC5-AE5,0)</f>
        <v>#REF!</v>
      </c>
      <c r="AG5" s="23" t="e">
        <f>IF(SUMPRODUCT($J$67:AF$67,$J5:AF5)&lt;0.5, "Pending", IF(AF5&lt;0.5, "Complete", "In Progress"))</f>
        <v>#REF!</v>
      </c>
      <c r="AH5" s="22">
        <v>0</v>
      </c>
      <c r="AI5" s="22" t="e">
        <f t="shared" ref="AI5" si="21">MAX(AF5-AH5,0)</f>
        <v>#REF!</v>
      </c>
      <c r="AJ5" s="23" t="e">
        <f>IF(SUMPRODUCT($J$67:AI$67,$J5:AI5)&lt;0.5, "Pending", IF(AI5&lt;0.5, "Complete", "In Progress"))</f>
        <v>#REF!</v>
      </c>
      <c r="AK5" s="22">
        <v>0</v>
      </c>
      <c r="AL5" s="22" t="e">
        <f t="shared" ref="AL5" si="22">MAX(AI5-AK5,0)</f>
        <v>#REF!</v>
      </c>
      <c r="AM5" s="23" t="e">
        <f>IF(SUMPRODUCT($J$67:AL$67,$J5:AL5)&lt;0.5, "Pending", IF(AL5&lt;0.5, "Complete", "In Progress"))</f>
        <v>#REF!</v>
      </c>
      <c r="AN5" s="22">
        <v>0</v>
      </c>
      <c r="AO5" s="22" t="e">
        <f t="shared" ref="AO5" si="23">MAX(AL5-AN5,0)</f>
        <v>#REF!</v>
      </c>
      <c r="AP5" s="23" t="e">
        <f>IF(SUMPRODUCT($J$67:AO$67,$J5:AO5)&lt;0.5, "Pending", IF(AO5&lt;0.5, "Complete", "In Progress"))</f>
        <v>#REF!</v>
      </c>
      <c r="AQ5" s="22">
        <v>0</v>
      </c>
      <c r="AR5" s="22" t="e">
        <f t="shared" ref="AR5" si="24">MAX(AO5-AQ5,0)</f>
        <v>#REF!</v>
      </c>
      <c r="AS5" s="23" t="e">
        <f>IF(SUMPRODUCT($J$67:AR$67,$J5:AR5)&lt;0.5, "Pending", IF(AR5&lt;0.5, "Complete", "In Progress"))</f>
        <v>#REF!</v>
      </c>
      <c r="AT5" s="22">
        <v>0</v>
      </c>
      <c r="AU5" s="22" t="e">
        <f t="shared" ref="AU5" si="25">MAX(AR5-AT5,0)</f>
        <v>#REF!</v>
      </c>
      <c r="AV5" s="23" t="e">
        <f>IF(SUMPRODUCT($J$67:AU$67,$J5:AU5)&lt;0.5, "Pending", IF(AU5&lt;0.5, "Complete", "In Progress"))</f>
        <v>#REF!</v>
      </c>
      <c r="AW5" s="22">
        <v>0</v>
      </c>
      <c r="AX5" s="22" t="e">
        <f t="shared" ref="AX5" si="26">MAX(AU5-AW5,0)</f>
        <v>#REF!</v>
      </c>
      <c r="AY5" s="23" t="e">
        <f>IF(SUMPRODUCT($J$67:AX$67,$J5:AX5)&lt;0.5, "Pending", IF(AX5&lt;0.5, "Complete", "In Progress"))</f>
        <v>#REF!</v>
      </c>
      <c r="AZ5" s="22">
        <v>0</v>
      </c>
      <c r="BA5" s="22" t="e">
        <f t="shared" ref="BA5" si="27">MAX(AX5-AZ5,0)</f>
        <v>#REF!</v>
      </c>
      <c r="BB5" s="23" t="e">
        <f>IF(SUMPRODUCT($J$67:BA$67,$J5:BA5)&lt;0.5, "Pending", IF(BA5&lt;0.5, "Complete", "In Progress"))</f>
        <v>#REF!</v>
      </c>
      <c r="BC5" s="24"/>
      <c r="BD5" s="94">
        <f>SUMPRODUCT($H$67:X$67,$H5:X5)</f>
        <v>12</v>
      </c>
    </row>
    <row r="6" spans="1:56" x14ac:dyDescent="0.2">
      <c r="A6" s="16"/>
      <c r="B6" s="16"/>
      <c r="C6" s="16"/>
      <c r="D6" s="17"/>
      <c r="E6" s="88" t="s">
        <v>82</v>
      </c>
      <c r="F6" s="18" t="s">
        <v>80</v>
      </c>
      <c r="G6" s="19" t="s">
        <v>83</v>
      </c>
      <c r="H6" s="20">
        <v>1</v>
      </c>
      <c r="I6" s="21">
        <v>10</v>
      </c>
      <c r="J6" s="22">
        <v>10</v>
      </c>
      <c r="K6" s="22">
        <f t="shared" ref="K6:K7" si="28">MAX(I6-J6, 0)</f>
        <v>0</v>
      </c>
      <c r="L6" s="23" t="str">
        <f>IF(SUMPRODUCT($J$67:K$67,$J6:K6)&lt;0.5, "Pending", IF(K6&lt;0.5, "Complete", "In Progress"))</f>
        <v>Complete</v>
      </c>
      <c r="M6" s="22">
        <v>0</v>
      </c>
      <c r="N6" s="22">
        <f t="shared" ref="N6:N7" si="29">MAX(K6-M6,0)</f>
        <v>0</v>
      </c>
      <c r="O6" s="23" t="str">
        <f>IF(SUMPRODUCT($J$67:N$67,$J6:N6)&lt;0.5, "Pending", IF(N6&lt;0.5, "Complete", "In Progress"))</f>
        <v>Complete</v>
      </c>
      <c r="P6" s="22">
        <v>0</v>
      </c>
      <c r="Q6" s="22">
        <f t="shared" ref="Q6:Q7" si="30">MAX(N6-P6,0)</f>
        <v>0</v>
      </c>
      <c r="R6" s="23" t="str">
        <f>IF(SUMPRODUCT($J$67:Q$67,$J6:Q6)&lt;0.5, "Pending", IF(Q6&lt;0.5, "Complete", "In Progress"))</f>
        <v>Complete</v>
      </c>
      <c r="S6" s="22">
        <v>0</v>
      </c>
      <c r="T6" s="22">
        <f t="shared" ref="T6:T7" si="31">MAX(Q6-S6,0)</f>
        <v>0</v>
      </c>
      <c r="U6" s="23" t="str">
        <f>IF(SUMPRODUCT($J$67:T$67,$J6:T6)&lt;0.5, "Pending", IF(T6&lt;0.5, "Complete", "In Progress"))</f>
        <v>Complete</v>
      </c>
      <c r="V6" s="22">
        <v>0</v>
      </c>
      <c r="W6" s="22">
        <f t="shared" ref="W6:W7" si="32">MAX(T6-V6,0)</f>
        <v>0</v>
      </c>
      <c r="X6" s="23" t="str">
        <f>IF(SUMPRODUCT($J$67:W$67,$J6:W6)&lt;0.5, "Pending", IF(W6&lt;0.5, "Complete", "In Progress"))</f>
        <v>Complete</v>
      </c>
      <c r="Y6" s="22">
        <v>0</v>
      </c>
      <c r="Z6" s="22" t="e">
        <f>MAX(#REF!-Y6,0)</f>
        <v>#REF!</v>
      </c>
      <c r="AA6" s="23" t="e">
        <f>IF(SUMPRODUCT($J$67:Z$67,$J6:Z6)&lt;0.5, "Pending", IF(Z6&lt;0.5, "Complete", "In Progress"))</f>
        <v>#REF!</v>
      </c>
      <c r="AB6" s="22">
        <v>0</v>
      </c>
      <c r="AC6" s="22" t="e">
        <f t="shared" ref="AC6:AC7" si="33">MAX(Z6-AB6,0)</f>
        <v>#REF!</v>
      </c>
      <c r="AD6" s="23" t="e">
        <f>IF(SUMPRODUCT($J$67:AC$67,$J6:AC6)&lt;0.5, "Pending", IF(AC6&lt;0.5, "Complete", "In Progress"))</f>
        <v>#REF!</v>
      </c>
      <c r="AE6" s="22">
        <v>0</v>
      </c>
      <c r="AF6" s="22" t="e">
        <f t="shared" ref="AF6:AF7" si="34">MAX(AC6-AE6,0)</f>
        <v>#REF!</v>
      </c>
      <c r="AG6" s="23" t="e">
        <f>IF(SUMPRODUCT($J$67:AF$67,$J6:AF6)&lt;0.5, "Pending", IF(AF6&lt;0.5, "Complete", "In Progress"))</f>
        <v>#REF!</v>
      </c>
      <c r="AH6" s="22">
        <v>0</v>
      </c>
      <c r="AI6" s="22" t="e">
        <f t="shared" ref="AI6:AI7" si="35">MAX(AF6-AH6,0)</f>
        <v>#REF!</v>
      </c>
      <c r="AJ6" s="23" t="e">
        <f>IF(SUMPRODUCT($J$67:AI$67,$J6:AI6)&lt;0.5, "Pending", IF(AI6&lt;0.5, "Complete", "In Progress"))</f>
        <v>#REF!</v>
      </c>
      <c r="AK6" s="22">
        <v>0</v>
      </c>
      <c r="AL6" s="22" t="e">
        <f t="shared" ref="AL6:AL7" si="36">MAX(AI6-AK6,0)</f>
        <v>#REF!</v>
      </c>
      <c r="AM6" s="23" t="e">
        <f>IF(SUMPRODUCT($J$67:AL$67,$J6:AL6)&lt;0.5, "Pending", IF(AL6&lt;0.5, "Complete", "In Progress"))</f>
        <v>#REF!</v>
      </c>
      <c r="AN6" s="22">
        <v>0</v>
      </c>
      <c r="AO6" s="22" t="e">
        <f t="shared" ref="AO6:AO7" si="37">MAX(AL6-AN6,0)</f>
        <v>#REF!</v>
      </c>
      <c r="AP6" s="23" t="e">
        <f>IF(SUMPRODUCT($J$67:AO$67,$J6:AO6)&lt;0.5, "Pending", IF(AO6&lt;0.5, "Complete", "In Progress"))</f>
        <v>#REF!</v>
      </c>
      <c r="AQ6" s="22">
        <v>0</v>
      </c>
      <c r="AR6" s="22" t="e">
        <f t="shared" ref="AR6:AR7" si="38">MAX(AO6-AQ6,0)</f>
        <v>#REF!</v>
      </c>
      <c r="AS6" s="23" t="e">
        <f>IF(SUMPRODUCT($J$67:AR$67,$J6:AR6)&lt;0.5, "Pending", IF(AR6&lt;0.5, "Complete", "In Progress"))</f>
        <v>#REF!</v>
      </c>
      <c r="AT6" s="22">
        <v>0</v>
      </c>
      <c r="AU6" s="22" t="e">
        <f t="shared" ref="AU6:AU7" si="39">MAX(AR6-AT6,0)</f>
        <v>#REF!</v>
      </c>
      <c r="AV6" s="23" t="e">
        <f>IF(SUMPRODUCT($J$67:AU$67,$J6:AU6)&lt;0.5, "Pending", IF(AU6&lt;0.5, "Complete", "In Progress"))</f>
        <v>#REF!</v>
      </c>
      <c r="AW6" s="22">
        <v>0</v>
      </c>
      <c r="AX6" s="22" t="e">
        <f t="shared" ref="AX6:AX7" si="40">MAX(AU6-AW6,0)</f>
        <v>#REF!</v>
      </c>
      <c r="AY6" s="23" t="e">
        <f>IF(SUMPRODUCT($J$67:AX$67,$J6:AX6)&lt;0.5, "Pending", IF(AX6&lt;0.5, "Complete", "In Progress"))</f>
        <v>#REF!</v>
      </c>
      <c r="AZ6" s="22">
        <v>0</v>
      </c>
      <c r="BA6" s="22" t="e">
        <f t="shared" ref="BA6:BA7" si="41">MAX(AX6-AZ6,0)</f>
        <v>#REF!</v>
      </c>
      <c r="BB6" s="23" t="e">
        <f>IF(SUMPRODUCT($J$67:BA$67,$J6:BA6)&lt;0.5, "Pending", IF(BA6&lt;0.5, "Complete", "In Progress"))</f>
        <v>#REF!</v>
      </c>
      <c r="BC6" s="24"/>
      <c r="BD6" s="25">
        <f>SUMPRODUCT($H$67:X$67,$H6:X6)</f>
        <v>10</v>
      </c>
    </row>
    <row r="7" spans="1:56" x14ac:dyDescent="0.2">
      <c r="A7" s="16"/>
      <c r="B7" s="16"/>
      <c r="C7" s="16"/>
      <c r="D7" s="17"/>
      <c r="E7" s="88"/>
      <c r="F7" s="18" t="s">
        <v>76</v>
      </c>
      <c r="G7" s="19"/>
      <c r="H7" s="20">
        <v>1</v>
      </c>
      <c r="I7" s="21">
        <v>0</v>
      </c>
      <c r="J7" s="22">
        <v>0</v>
      </c>
      <c r="K7" s="22">
        <f t="shared" si="28"/>
        <v>0</v>
      </c>
      <c r="L7" s="23" t="str">
        <f>IF(SUMPRODUCT($J$67:K$67,$J7:K7)&lt;0.5, "Pending", IF(K7&lt;0.5, "Complete", "In Progress"))</f>
        <v>Pending</v>
      </c>
      <c r="M7" s="22">
        <v>0</v>
      </c>
      <c r="N7" s="22">
        <f t="shared" si="29"/>
        <v>0</v>
      </c>
      <c r="O7" s="23" t="str">
        <f>IF(SUMPRODUCT($J$67:N$67,$J7:N7)&lt;0.5, "Pending", IF(N7&lt;0.5, "Complete", "In Progress"))</f>
        <v>Pending</v>
      </c>
      <c r="P7" s="22">
        <v>0</v>
      </c>
      <c r="Q7" s="22">
        <f t="shared" si="30"/>
        <v>0</v>
      </c>
      <c r="R7" s="23" t="str">
        <f>IF(SUMPRODUCT($J$67:Q$67,$J7:Q7)&lt;0.5, "Pending", IF(Q7&lt;0.5, "Complete", "In Progress"))</f>
        <v>Pending</v>
      </c>
      <c r="S7" s="22">
        <v>0</v>
      </c>
      <c r="T7" s="22">
        <f t="shared" si="31"/>
        <v>0</v>
      </c>
      <c r="U7" s="23" t="str">
        <f>IF(SUMPRODUCT($J$67:T$67,$J7:T7)&lt;0.5, "Pending", IF(T7&lt;0.5, "Complete", "In Progress"))</f>
        <v>Pending</v>
      </c>
      <c r="V7" s="22">
        <v>0</v>
      </c>
      <c r="W7" s="22">
        <f t="shared" si="32"/>
        <v>0</v>
      </c>
      <c r="X7" s="23" t="str">
        <f>IF(SUMPRODUCT($J$67:W$67,$J7:W7)&lt;0.5, "Pending", IF(W7&lt;0.5, "Complete", "In Progress"))</f>
        <v>Pending</v>
      </c>
      <c r="Y7" s="22">
        <v>0</v>
      </c>
      <c r="Z7" s="22" t="e">
        <f>MAX(#REF!-Y7,0)</f>
        <v>#REF!</v>
      </c>
      <c r="AA7" s="23" t="e">
        <f>IF(SUMPRODUCT($J$67:Z$67,$J7:Z7)&lt;0.5, "Pending", IF(Z7&lt;0.5, "Complete", "In Progress"))</f>
        <v>#REF!</v>
      </c>
      <c r="AB7" s="22">
        <v>0</v>
      </c>
      <c r="AC7" s="22" t="e">
        <f t="shared" si="33"/>
        <v>#REF!</v>
      </c>
      <c r="AD7" s="23" t="e">
        <f>IF(SUMPRODUCT($J$67:AC$67,$J7:AC7)&lt;0.5, "Pending", IF(AC7&lt;0.5, "Complete", "In Progress"))</f>
        <v>#REF!</v>
      </c>
      <c r="AE7" s="22">
        <v>0</v>
      </c>
      <c r="AF7" s="22" t="e">
        <f t="shared" si="34"/>
        <v>#REF!</v>
      </c>
      <c r="AG7" s="23" t="e">
        <f>IF(SUMPRODUCT($J$67:AF$67,$J7:AF7)&lt;0.5, "Pending", IF(AF7&lt;0.5, "Complete", "In Progress"))</f>
        <v>#REF!</v>
      </c>
      <c r="AH7" s="22">
        <v>0</v>
      </c>
      <c r="AI7" s="22" t="e">
        <f t="shared" si="35"/>
        <v>#REF!</v>
      </c>
      <c r="AJ7" s="23" t="e">
        <f>IF(SUMPRODUCT($J$67:AI$67,$J7:AI7)&lt;0.5, "Pending", IF(AI7&lt;0.5, "Complete", "In Progress"))</f>
        <v>#REF!</v>
      </c>
      <c r="AK7" s="22">
        <v>0</v>
      </c>
      <c r="AL7" s="22" t="e">
        <f t="shared" si="36"/>
        <v>#REF!</v>
      </c>
      <c r="AM7" s="23" t="e">
        <f>IF(SUMPRODUCT($J$67:AL$67,$J7:AL7)&lt;0.5, "Pending", IF(AL7&lt;0.5, "Complete", "In Progress"))</f>
        <v>#REF!</v>
      </c>
      <c r="AN7" s="22">
        <v>0</v>
      </c>
      <c r="AO7" s="22" t="e">
        <f t="shared" si="37"/>
        <v>#REF!</v>
      </c>
      <c r="AP7" s="23" t="e">
        <f>IF(SUMPRODUCT($J$67:AO$67,$J7:AO7)&lt;0.5, "Pending", IF(AO7&lt;0.5, "Complete", "In Progress"))</f>
        <v>#REF!</v>
      </c>
      <c r="AQ7" s="22">
        <v>0</v>
      </c>
      <c r="AR7" s="22" t="e">
        <f t="shared" si="38"/>
        <v>#REF!</v>
      </c>
      <c r="AS7" s="23" t="e">
        <f>IF(SUMPRODUCT($J$67:AR$67,$J7:AR7)&lt;0.5, "Pending", IF(AR7&lt;0.5, "Complete", "In Progress"))</f>
        <v>#REF!</v>
      </c>
      <c r="AT7" s="22">
        <v>0</v>
      </c>
      <c r="AU7" s="22" t="e">
        <f t="shared" si="39"/>
        <v>#REF!</v>
      </c>
      <c r="AV7" s="23" t="e">
        <f>IF(SUMPRODUCT($J$67:AU$67,$J7:AU7)&lt;0.5, "Pending", IF(AU7&lt;0.5, "Complete", "In Progress"))</f>
        <v>#REF!</v>
      </c>
      <c r="AW7" s="22">
        <v>0</v>
      </c>
      <c r="AX7" s="22" t="e">
        <f t="shared" si="40"/>
        <v>#REF!</v>
      </c>
      <c r="AY7" s="23" t="e">
        <f>IF(SUMPRODUCT($J$67:AX$67,$J7:AX7)&lt;0.5, "Pending", IF(AX7&lt;0.5, "Complete", "In Progress"))</f>
        <v>#REF!</v>
      </c>
      <c r="AZ7" s="22">
        <v>0</v>
      </c>
      <c r="BA7" s="22" t="e">
        <f t="shared" si="41"/>
        <v>#REF!</v>
      </c>
      <c r="BB7" s="23" t="e">
        <f>IF(SUMPRODUCT($J$67:BA$67,$J7:BA7)&lt;0.5, "Pending", IF(BA7&lt;0.5, "Complete", "In Progress"))</f>
        <v>#REF!</v>
      </c>
      <c r="BC7" s="24"/>
      <c r="BD7" s="94">
        <f>SUMPRODUCT($H$67:X$67,$H7:X7)</f>
        <v>0</v>
      </c>
    </row>
    <row r="8" spans="1:56" x14ac:dyDescent="0.2">
      <c r="A8" s="16"/>
      <c r="B8" s="16"/>
      <c r="C8" s="16"/>
      <c r="D8" s="17"/>
      <c r="E8" s="88"/>
      <c r="F8" s="18" t="s">
        <v>76</v>
      </c>
      <c r="G8" s="19"/>
      <c r="H8" s="20">
        <v>1</v>
      </c>
      <c r="I8" s="21">
        <v>0</v>
      </c>
      <c r="J8" s="22">
        <v>4</v>
      </c>
      <c r="K8" s="22">
        <f t="shared" ref="K8:K63" si="42">MAX(I8-J8, 0)</f>
        <v>0</v>
      </c>
      <c r="L8" s="23" t="str">
        <f>IF(SUMPRODUCT($J$67:K$67,$J8:K8)&lt;0.5, "Pending", IF(K8&lt;0.5, "Complete", "In Progress"))</f>
        <v>Complete</v>
      </c>
      <c r="M8" s="22">
        <v>0</v>
      </c>
      <c r="N8" s="22">
        <f t="shared" ref="N8:N63" si="43">MAX(K8-M8,0)</f>
        <v>0</v>
      </c>
      <c r="O8" s="23" t="str">
        <f>IF(SUMPRODUCT($J$67:N$67,$J8:N8)&lt;0.5, "Pending", IF(N8&lt;0.5, "Complete", "In Progress"))</f>
        <v>Complete</v>
      </c>
      <c r="P8" s="22">
        <v>0</v>
      </c>
      <c r="Q8" s="22">
        <f t="shared" ref="Q8:Q63" si="44">MAX(N8-P8,0)</f>
        <v>0</v>
      </c>
      <c r="R8" s="23" t="str">
        <f>IF(SUMPRODUCT($J$67:Q$67,$J8:Q8)&lt;0.5, "Pending", IF(Q8&lt;0.5, "Complete", "In Progress"))</f>
        <v>Complete</v>
      </c>
      <c r="S8" s="22">
        <v>0</v>
      </c>
      <c r="T8" s="22">
        <f t="shared" ref="T8:T63" si="45">MAX(Q8-S8,0)</f>
        <v>0</v>
      </c>
      <c r="U8" s="23" t="str">
        <f>IF(SUMPRODUCT($J$67:T$67,$J8:T8)&lt;0.5, "Pending", IF(T8&lt;0.5, "Complete", "In Progress"))</f>
        <v>Complete</v>
      </c>
      <c r="V8" s="22">
        <v>0</v>
      </c>
      <c r="W8" s="22">
        <f t="shared" ref="W8:W63" si="46">MAX(T8-V8,0)</f>
        <v>0</v>
      </c>
      <c r="X8" s="23" t="str">
        <f>IF(SUMPRODUCT($J$67:W$67,$J8:W8)&lt;0.5, "Pending", IF(W8&lt;0.5, "Complete", "In Progress"))</f>
        <v>Complete</v>
      </c>
      <c r="Y8" s="22">
        <v>0</v>
      </c>
      <c r="Z8" s="22" t="e">
        <f>MAX(#REF!-Y8,0)</f>
        <v>#REF!</v>
      </c>
      <c r="AA8" s="23" t="e">
        <f>IF(SUMPRODUCT($J$67:Z$67,$J8:Z8)&lt;0.5, "Pending", IF(Z8&lt;0.5, "Complete", "In Progress"))</f>
        <v>#REF!</v>
      </c>
      <c r="AB8" s="22">
        <v>0</v>
      </c>
      <c r="AC8" s="22" t="e">
        <f t="shared" ref="AC8:AC63" si="47">MAX(Z8-AB8,0)</f>
        <v>#REF!</v>
      </c>
      <c r="AD8" s="23" t="e">
        <f>IF(SUMPRODUCT($J$67:AC$67,$J8:AC8)&lt;0.5, "Pending", IF(AC8&lt;0.5, "Complete", "In Progress"))</f>
        <v>#REF!</v>
      </c>
      <c r="AE8" s="22">
        <v>0</v>
      </c>
      <c r="AF8" s="22" t="e">
        <f t="shared" ref="AF8:AF63" si="48">MAX(AC8-AE8,0)</f>
        <v>#REF!</v>
      </c>
      <c r="AG8" s="23" t="e">
        <f>IF(SUMPRODUCT($J$67:AF$67,$J8:AF8)&lt;0.5, "Pending", IF(AF8&lt;0.5, "Complete", "In Progress"))</f>
        <v>#REF!</v>
      </c>
      <c r="AH8" s="22">
        <v>0</v>
      </c>
      <c r="AI8" s="22" t="e">
        <f t="shared" ref="AI8:AI63" si="49">MAX(AF8-AH8,0)</f>
        <v>#REF!</v>
      </c>
      <c r="AJ8" s="23" t="e">
        <f>IF(SUMPRODUCT($J$67:AI$67,$J8:AI8)&lt;0.5, "Pending", IF(AI8&lt;0.5, "Complete", "In Progress"))</f>
        <v>#REF!</v>
      </c>
      <c r="AK8" s="22">
        <v>0</v>
      </c>
      <c r="AL8" s="22" t="e">
        <f t="shared" ref="AL8:AL63" si="50">MAX(AI8-AK8,0)</f>
        <v>#REF!</v>
      </c>
      <c r="AM8" s="23" t="e">
        <f>IF(SUMPRODUCT($J$67:AL$67,$J8:AL8)&lt;0.5, "Pending", IF(AL8&lt;0.5, "Complete", "In Progress"))</f>
        <v>#REF!</v>
      </c>
      <c r="AN8" s="22">
        <v>0</v>
      </c>
      <c r="AO8" s="22" t="e">
        <f t="shared" ref="AO8:AO63" si="51">MAX(AL8-AN8,0)</f>
        <v>#REF!</v>
      </c>
      <c r="AP8" s="23" t="e">
        <f>IF(SUMPRODUCT($J$67:AO$67,$J8:AO8)&lt;0.5, "Pending", IF(AO8&lt;0.5, "Complete", "In Progress"))</f>
        <v>#REF!</v>
      </c>
      <c r="AQ8" s="22">
        <v>0</v>
      </c>
      <c r="AR8" s="22" t="e">
        <f t="shared" ref="AR8:AR63" si="52">MAX(AO8-AQ8,0)</f>
        <v>#REF!</v>
      </c>
      <c r="AS8" s="23" t="e">
        <f>IF(SUMPRODUCT($J$67:AR$67,$J8:AR8)&lt;0.5, "Pending", IF(AR8&lt;0.5, "Complete", "In Progress"))</f>
        <v>#REF!</v>
      </c>
      <c r="AT8" s="22">
        <v>0</v>
      </c>
      <c r="AU8" s="22" t="e">
        <f t="shared" ref="AU8:AU63" si="53">MAX(AR8-AT8,0)</f>
        <v>#REF!</v>
      </c>
      <c r="AV8" s="23" t="e">
        <f>IF(SUMPRODUCT($J$67:AU$67,$J8:AU8)&lt;0.5, "Pending", IF(AU8&lt;0.5, "Complete", "In Progress"))</f>
        <v>#REF!</v>
      </c>
      <c r="AW8" s="22">
        <v>0</v>
      </c>
      <c r="AX8" s="22" t="e">
        <f t="shared" ref="AX8:AX63" si="54">MAX(AU8-AW8,0)</f>
        <v>#REF!</v>
      </c>
      <c r="AY8" s="23" t="e">
        <f>IF(SUMPRODUCT($J$67:AX$67,$J8:AX8)&lt;0.5, "Pending", IF(AX8&lt;0.5, "Complete", "In Progress"))</f>
        <v>#REF!</v>
      </c>
      <c r="AZ8" s="22">
        <v>0</v>
      </c>
      <c r="BA8" s="22" t="e">
        <f t="shared" ref="BA8:BA63" si="55">MAX(AX8-AZ8,0)</f>
        <v>#REF!</v>
      </c>
      <c r="BB8" s="23" t="e">
        <f>IF(SUMPRODUCT($J$67:BA$67,$J8:BA8)&lt;0.5, "Pending", IF(BA8&lt;0.5, "Complete", "In Progress"))</f>
        <v>#REF!</v>
      </c>
      <c r="BC8" s="24"/>
      <c r="BD8" s="25">
        <f>SUMPRODUCT($H$67:X$67,$H8:X8)</f>
        <v>4</v>
      </c>
    </row>
    <row r="9" spans="1:56" x14ac:dyDescent="0.2">
      <c r="A9" s="16"/>
      <c r="B9" s="16"/>
      <c r="C9" s="16" t="s">
        <v>84</v>
      </c>
      <c r="D9" s="17"/>
      <c r="E9" s="88" t="s">
        <v>85</v>
      </c>
      <c r="F9" s="18" t="s">
        <v>79</v>
      </c>
      <c r="G9" s="19" t="s">
        <v>73</v>
      </c>
      <c r="H9" s="20">
        <v>1</v>
      </c>
      <c r="I9" s="21">
        <v>10</v>
      </c>
      <c r="J9" s="22">
        <v>3</v>
      </c>
      <c r="K9" s="22">
        <f t="shared" si="42"/>
        <v>7</v>
      </c>
      <c r="L9" s="23" t="str">
        <f>IF(SUMPRODUCT($J$67:K$67,$J9:K9)&lt;0.5, "Pending", IF(K9&lt;0.5, "Complete", "In Progress"))</f>
        <v>In Progress</v>
      </c>
      <c r="M9" s="22">
        <v>3</v>
      </c>
      <c r="N9" s="22">
        <f t="shared" si="43"/>
        <v>4</v>
      </c>
      <c r="O9" s="23" t="str">
        <f>IF(SUMPRODUCT($J$67:N$67,$J9:N9)&lt;0.5, "Pending", IF(N9&lt;0.5, "Complete", "In Progress"))</f>
        <v>In Progress</v>
      </c>
      <c r="P9" s="22">
        <v>4</v>
      </c>
      <c r="Q9" s="22">
        <f t="shared" si="44"/>
        <v>0</v>
      </c>
      <c r="R9" s="23" t="str">
        <f>IF(SUMPRODUCT($J$67:Q$67,$J9:Q9)&lt;0.5, "Pending", IF(Q9&lt;0.5, "Complete", "In Progress"))</f>
        <v>Complete</v>
      </c>
      <c r="S9" s="22">
        <v>0</v>
      </c>
      <c r="T9" s="22">
        <f t="shared" si="45"/>
        <v>0</v>
      </c>
      <c r="U9" s="23" t="str">
        <f>IF(SUMPRODUCT($J$67:T$67,$J9:T9)&lt;0.5, "Pending", IF(T9&lt;0.5, "Complete", "In Progress"))</f>
        <v>Complete</v>
      </c>
      <c r="V9" s="22">
        <v>0</v>
      </c>
      <c r="W9" s="22">
        <f t="shared" si="46"/>
        <v>0</v>
      </c>
      <c r="X9" s="23" t="str">
        <f>IF(SUMPRODUCT($J$67:W$67,$J9:W9)&lt;0.5, "Pending", IF(W9&lt;0.5, "Complete", "In Progress"))</f>
        <v>Complete</v>
      </c>
      <c r="Y9" s="22">
        <v>0</v>
      </c>
      <c r="Z9" s="22" t="e">
        <f>MAX(#REF!-Y9,0)</f>
        <v>#REF!</v>
      </c>
      <c r="AA9" s="23" t="e">
        <f>IF(SUMPRODUCT($J$67:Z$67,$J9:Z9)&lt;0.5, "Pending", IF(Z9&lt;0.5, "Complete", "In Progress"))</f>
        <v>#REF!</v>
      </c>
      <c r="AB9" s="22">
        <v>0</v>
      </c>
      <c r="AC9" s="22" t="e">
        <f t="shared" si="47"/>
        <v>#REF!</v>
      </c>
      <c r="AD9" s="23" t="e">
        <f>IF(SUMPRODUCT($J$67:AC$67,$J9:AC9)&lt;0.5, "Pending", IF(AC9&lt;0.5, "Complete", "In Progress"))</f>
        <v>#REF!</v>
      </c>
      <c r="AE9" s="22">
        <v>0</v>
      </c>
      <c r="AF9" s="22" t="e">
        <f t="shared" si="48"/>
        <v>#REF!</v>
      </c>
      <c r="AG9" s="23" t="e">
        <f>IF(SUMPRODUCT($J$67:AF$67,$J9:AF9)&lt;0.5, "Pending", IF(AF9&lt;0.5, "Complete", "In Progress"))</f>
        <v>#REF!</v>
      </c>
      <c r="AH9" s="22">
        <v>0</v>
      </c>
      <c r="AI9" s="22" t="e">
        <f t="shared" si="49"/>
        <v>#REF!</v>
      </c>
      <c r="AJ9" s="23" t="e">
        <f>IF(SUMPRODUCT($J$67:AI$67,$J9:AI9)&lt;0.5, "Pending", IF(AI9&lt;0.5, "Complete", "In Progress"))</f>
        <v>#REF!</v>
      </c>
      <c r="AK9" s="22">
        <v>0</v>
      </c>
      <c r="AL9" s="22" t="e">
        <f t="shared" si="50"/>
        <v>#REF!</v>
      </c>
      <c r="AM9" s="23" t="e">
        <f>IF(SUMPRODUCT($J$67:AL$67,$J9:AL9)&lt;0.5, "Pending", IF(AL9&lt;0.5, "Complete", "In Progress"))</f>
        <v>#REF!</v>
      </c>
      <c r="AN9" s="22">
        <v>0</v>
      </c>
      <c r="AO9" s="22" t="e">
        <f t="shared" si="51"/>
        <v>#REF!</v>
      </c>
      <c r="AP9" s="23" t="e">
        <f>IF(SUMPRODUCT($J$67:AO$67,$J9:AO9)&lt;0.5, "Pending", IF(AO9&lt;0.5, "Complete", "In Progress"))</f>
        <v>#REF!</v>
      </c>
      <c r="AQ9" s="22">
        <v>0</v>
      </c>
      <c r="AR9" s="22" t="e">
        <f t="shared" si="52"/>
        <v>#REF!</v>
      </c>
      <c r="AS9" s="23" t="e">
        <f>IF(SUMPRODUCT($J$67:AR$67,$J9:AR9)&lt;0.5, "Pending", IF(AR9&lt;0.5, "Complete", "In Progress"))</f>
        <v>#REF!</v>
      </c>
      <c r="AT9" s="22">
        <v>0</v>
      </c>
      <c r="AU9" s="22" t="e">
        <f t="shared" si="53"/>
        <v>#REF!</v>
      </c>
      <c r="AV9" s="23" t="e">
        <f>IF(SUMPRODUCT($J$67:AU$67,$J9:AU9)&lt;0.5, "Pending", IF(AU9&lt;0.5, "Complete", "In Progress"))</f>
        <v>#REF!</v>
      </c>
      <c r="AW9" s="22">
        <v>0</v>
      </c>
      <c r="AX9" s="22" t="e">
        <f t="shared" si="54"/>
        <v>#REF!</v>
      </c>
      <c r="AY9" s="23" t="e">
        <f>IF(SUMPRODUCT($J$67:AX$67,$J9:AX9)&lt;0.5, "Pending", IF(AX9&lt;0.5, "Complete", "In Progress"))</f>
        <v>#REF!</v>
      </c>
      <c r="AZ9" s="22">
        <v>0</v>
      </c>
      <c r="BA9" s="22" t="e">
        <f t="shared" si="55"/>
        <v>#REF!</v>
      </c>
      <c r="BB9" s="23" t="e">
        <f>IF(SUMPRODUCT($J$67:BA$67,$J9:BA9)&lt;0.5, "Pending", IF(BA9&lt;0.5, "Complete", "In Progress"))</f>
        <v>#REF!</v>
      </c>
      <c r="BC9" s="24"/>
      <c r="BD9" s="94">
        <f>SUMPRODUCT($H$67:X$67,$H9:X9)</f>
        <v>10</v>
      </c>
    </row>
    <row r="10" spans="1:56" x14ac:dyDescent="0.2">
      <c r="A10" s="16"/>
      <c r="B10" s="16"/>
      <c r="C10" s="16"/>
      <c r="D10" s="17"/>
      <c r="E10" s="88" t="s">
        <v>86</v>
      </c>
      <c r="F10" s="18" t="s">
        <v>79</v>
      </c>
      <c r="G10" s="19" t="s">
        <v>73</v>
      </c>
      <c r="H10" s="20">
        <v>1</v>
      </c>
      <c r="I10" s="21">
        <v>10</v>
      </c>
      <c r="J10" s="22">
        <v>2</v>
      </c>
      <c r="K10" s="22">
        <f t="shared" si="42"/>
        <v>8</v>
      </c>
      <c r="L10" s="23" t="str">
        <f>IF(SUMPRODUCT($J$67:K$67,$J10:K10)&lt;0.5, "Pending", IF(K10&lt;0.5, "Complete", "In Progress"))</f>
        <v>In Progress</v>
      </c>
      <c r="M10" s="22">
        <v>3</v>
      </c>
      <c r="N10" s="22">
        <f t="shared" si="43"/>
        <v>5</v>
      </c>
      <c r="O10" s="23" t="str">
        <f>IF(SUMPRODUCT($J$67:N$67,$J10:N10)&lt;0.5, "Pending", IF(N10&lt;0.5, "Complete", "In Progress"))</f>
        <v>In Progress</v>
      </c>
      <c r="P10" s="22">
        <v>4</v>
      </c>
      <c r="Q10" s="22">
        <f t="shared" si="44"/>
        <v>1</v>
      </c>
      <c r="R10" s="23" t="str">
        <f>IF(SUMPRODUCT($J$67:Q$67,$J10:Q10)&lt;0.5, "Pending", IF(Q10&lt;0.5, "Complete", "In Progress"))</f>
        <v>In Progress</v>
      </c>
      <c r="S10" s="22">
        <v>1</v>
      </c>
      <c r="T10" s="22">
        <f t="shared" si="45"/>
        <v>0</v>
      </c>
      <c r="U10" s="23" t="str">
        <f>IF(SUMPRODUCT($J$67:T$67,$J10:T10)&lt;0.5, "Pending", IF(T10&lt;0.5, "Complete", "In Progress"))</f>
        <v>Complete</v>
      </c>
      <c r="V10" s="22">
        <v>0</v>
      </c>
      <c r="W10" s="22">
        <f t="shared" si="46"/>
        <v>0</v>
      </c>
      <c r="X10" s="23" t="str">
        <f>IF(SUMPRODUCT($J$67:W$67,$J10:W10)&lt;0.5, "Pending", IF(W10&lt;0.5, "Complete", "In Progress"))</f>
        <v>Complete</v>
      </c>
      <c r="Y10" s="22">
        <v>0</v>
      </c>
      <c r="Z10" s="22" t="e">
        <f>MAX(#REF!-Y10,0)</f>
        <v>#REF!</v>
      </c>
      <c r="AA10" s="23" t="e">
        <f>IF(SUMPRODUCT($J$67:Z$67,$J10:Z10)&lt;0.5, "Pending", IF(Z10&lt;0.5, "Complete", "In Progress"))</f>
        <v>#REF!</v>
      </c>
      <c r="AB10" s="22">
        <v>0</v>
      </c>
      <c r="AC10" s="22" t="e">
        <f t="shared" si="47"/>
        <v>#REF!</v>
      </c>
      <c r="AD10" s="23" t="e">
        <f>IF(SUMPRODUCT($J$67:AC$67,$J10:AC10)&lt;0.5, "Pending", IF(AC10&lt;0.5, "Complete", "In Progress"))</f>
        <v>#REF!</v>
      </c>
      <c r="AE10" s="22">
        <v>0</v>
      </c>
      <c r="AF10" s="22" t="e">
        <f t="shared" si="48"/>
        <v>#REF!</v>
      </c>
      <c r="AG10" s="23" t="e">
        <f>IF(SUMPRODUCT($J$67:AF$67,$J10:AF10)&lt;0.5, "Pending", IF(AF10&lt;0.5, "Complete", "In Progress"))</f>
        <v>#REF!</v>
      </c>
      <c r="AH10" s="22">
        <v>0</v>
      </c>
      <c r="AI10" s="22" t="e">
        <f t="shared" si="49"/>
        <v>#REF!</v>
      </c>
      <c r="AJ10" s="23" t="e">
        <f>IF(SUMPRODUCT($J$67:AI$67,$J10:AI10)&lt;0.5, "Pending", IF(AI10&lt;0.5, "Complete", "In Progress"))</f>
        <v>#REF!</v>
      </c>
      <c r="AK10" s="22">
        <v>0</v>
      </c>
      <c r="AL10" s="22" t="e">
        <f t="shared" si="50"/>
        <v>#REF!</v>
      </c>
      <c r="AM10" s="23" t="e">
        <f>IF(SUMPRODUCT($J$67:AL$67,$J10:AL10)&lt;0.5, "Pending", IF(AL10&lt;0.5, "Complete", "In Progress"))</f>
        <v>#REF!</v>
      </c>
      <c r="AN10" s="22">
        <v>0</v>
      </c>
      <c r="AO10" s="22" t="e">
        <f t="shared" si="51"/>
        <v>#REF!</v>
      </c>
      <c r="AP10" s="23" t="e">
        <f>IF(SUMPRODUCT($J$67:AO$67,$J10:AO10)&lt;0.5, "Pending", IF(AO10&lt;0.5, "Complete", "In Progress"))</f>
        <v>#REF!</v>
      </c>
      <c r="AQ10" s="22">
        <v>0</v>
      </c>
      <c r="AR10" s="22" t="e">
        <f t="shared" si="52"/>
        <v>#REF!</v>
      </c>
      <c r="AS10" s="23" t="e">
        <f>IF(SUMPRODUCT($J$67:AR$67,$J10:AR10)&lt;0.5, "Pending", IF(AR10&lt;0.5, "Complete", "In Progress"))</f>
        <v>#REF!</v>
      </c>
      <c r="AT10" s="22">
        <v>0</v>
      </c>
      <c r="AU10" s="22" t="e">
        <f t="shared" si="53"/>
        <v>#REF!</v>
      </c>
      <c r="AV10" s="23" t="e">
        <f>IF(SUMPRODUCT($J$67:AU$67,$J10:AU10)&lt;0.5, "Pending", IF(AU10&lt;0.5, "Complete", "In Progress"))</f>
        <v>#REF!</v>
      </c>
      <c r="AW10" s="22">
        <v>0</v>
      </c>
      <c r="AX10" s="22" t="e">
        <f t="shared" si="54"/>
        <v>#REF!</v>
      </c>
      <c r="AY10" s="23" t="e">
        <f>IF(SUMPRODUCT($J$67:AX$67,$J10:AX10)&lt;0.5, "Pending", IF(AX10&lt;0.5, "Complete", "In Progress"))</f>
        <v>#REF!</v>
      </c>
      <c r="AZ10" s="22">
        <v>0</v>
      </c>
      <c r="BA10" s="22" t="e">
        <f t="shared" si="55"/>
        <v>#REF!</v>
      </c>
      <c r="BB10" s="23" t="e">
        <f>IF(SUMPRODUCT($J$67:BA$67,$J10:BA10)&lt;0.5, "Pending", IF(BA10&lt;0.5, "Complete", "In Progress"))</f>
        <v>#REF!</v>
      </c>
      <c r="BC10" s="24"/>
      <c r="BD10" s="25">
        <f>SUMPRODUCT($H$67:X$67,$H10:X10)</f>
        <v>10</v>
      </c>
    </row>
    <row r="11" spans="1:56" x14ac:dyDescent="0.2">
      <c r="A11" s="16"/>
      <c r="B11" s="16"/>
      <c r="C11" s="16"/>
      <c r="D11" s="17"/>
      <c r="E11" s="88" t="s">
        <v>87</v>
      </c>
      <c r="F11" s="18" t="s">
        <v>99</v>
      </c>
      <c r="G11" s="19" t="s">
        <v>74</v>
      </c>
      <c r="H11" s="20">
        <v>1</v>
      </c>
      <c r="I11" s="21">
        <v>20</v>
      </c>
      <c r="J11" s="22">
        <v>6</v>
      </c>
      <c r="K11" s="22">
        <f t="shared" si="42"/>
        <v>14</v>
      </c>
      <c r="L11" s="23" t="str">
        <f>IF(SUMPRODUCT($J$67:K$67,$J11:K11)&lt;0.5, "Pending", IF(K11&lt;0.5, "Complete", "In Progress"))</f>
        <v>In Progress</v>
      </c>
      <c r="M11" s="22">
        <v>5</v>
      </c>
      <c r="N11" s="22">
        <f t="shared" si="43"/>
        <v>9</v>
      </c>
      <c r="O11" s="23" t="str">
        <f>IF(SUMPRODUCT($J$67:N$67,$J11:N11)&lt;0.5, "Pending", IF(N11&lt;0.5, "Complete", "In Progress"))</f>
        <v>In Progress</v>
      </c>
      <c r="P11" s="22">
        <v>4</v>
      </c>
      <c r="Q11" s="22">
        <f t="shared" si="44"/>
        <v>5</v>
      </c>
      <c r="R11" s="23" t="str">
        <f>IF(SUMPRODUCT($J$67:Q$67,$J11:Q11)&lt;0.5, "Pending", IF(Q11&lt;0.5, "Complete", "In Progress"))</f>
        <v>In Progress</v>
      </c>
      <c r="S11" s="22">
        <v>0</v>
      </c>
      <c r="T11" s="22">
        <f t="shared" si="45"/>
        <v>5</v>
      </c>
      <c r="U11" s="23" t="str">
        <f>IF(SUMPRODUCT($J$67:T$67,$J11:T11)&lt;0.5, "Pending", IF(T11&lt;0.5, "Complete", "In Progress"))</f>
        <v>In Progress</v>
      </c>
      <c r="V11" s="22">
        <v>0</v>
      </c>
      <c r="W11" s="22">
        <f t="shared" si="46"/>
        <v>5</v>
      </c>
      <c r="X11" s="23" t="str">
        <f>IF(SUMPRODUCT($J$67:W$67,$J11:W11)&lt;0.5, "Pending", IF(W11&lt;0.5, "Complete", "In Progress"))</f>
        <v>In Progress</v>
      </c>
      <c r="Y11" s="22">
        <v>0</v>
      </c>
      <c r="Z11" s="22" t="e">
        <f>MAX(#REF!-Y11,0)</f>
        <v>#REF!</v>
      </c>
      <c r="AA11" s="23" t="e">
        <f>IF(SUMPRODUCT($J$67:Z$67,$J11:Z11)&lt;0.5, "Pending", IF(Z11&lt;0.5, "Complete", "In Progress"))</f>
        <v>#REF!</v>
      </c>
      <c r="AB11" s="22">
        <v>0</v>
      </c>
      <c r="AC11" s="22" t="e">
        <f t="shared" si="47"/>
        <v>#REF!</v>
      </c>
      <c r="AD11" s="23" t="e">
        <f>IF(SUMPRODUCT($J$67:AC$67,$J11:AC11)&lt;0.5, "Pending", IF(AC11&lt;0.5, "Complete", "In Progress"))</f>
        <v>#REF!</v>
      </c>
      <c r="AE11" s="22">
        <v>0</v>
      </c>
      <c r="AF11" s="22" t="e">
        <f t="shared" si="48"/>
        <v>#REF!</v>
      </c>
      <c r="AG11" s="23" t="e">
        <f>IF(SUMPRODUCT($J$67:AF$67,$J11:AF11)&lt;0.5, "Pending", IF(AF11&lt;0.5, "Complete", "In Progress"))</f>
        <v>#REF!</v>
      </c>
      <c r="AH11" s="22">
        <v>0</v>
      </c>
      <c r="AI11" s="22" t="e">
        <f t="shared" si="49"/>
        <v>#REF!</v>
      </c>
      <c r="AJ11" s="23" t="e">
        <f>IF(SUMPRODUCT($J$67:AI$67,$J11:AI11)&lt;0.5, "Pending", IF(AI11&lt;0.5, "Complete", "In Progress"))</f>
        <v>#REF!</v>
      </c>
      <c r="AK11" s="22">
        <v>0</v>
      </c>
      <c r="AL11" s="22" t="e">
        <f t="shared" si="50"/>
        <v>#REF!</v>
      </c>
      <c r="AM11" s="23" t="e">
        <f>IF(SUMPRODUCT($J$67:AL$67,$J11:AL11)&lt;0.5, "Pending", IF(AL11&lt;0.5, "Complete", "In Progress"))</f>
        <v>#REF!</v>
      </c>
      <c r="AN11" s="22">
        <v>0</v>
      </c>
      <c r="AO11" s="22" t="e">
        <f t="shared" si="51"/>
        <v>#REF!</v>
      </c>
      <c r="AP11" s="23" t="e">
        <f>IF(SUMPRODUCT($J$67:AO$67,$J11:AO11)&lt;0.5, "Pending", IF(AO11&lt;0.5, "Complete", "In Progress"))</f>
        <v>#REF!</v>
      </c>
      <c r="AQ11" s="22">
        <v>0</v>
      </c>
      <c r="AR11" s="22" t="e">
        <f t="shared" si="52"/>
        <v>#REF!</v>
      </c>
      <c r="AS11" s="23" t="e">
        <f>IF(SUMPRODUCT($J$67:AR$67,$J11:AR11)&lt;0.5, "Pending", IF(AR11&lt;0.5, "Complete", "In Progress"))</f>
        <v>#REF!</v>
      </c>
      <c r="AT11" s="22">
        <v>0</v>
      </c>
      <c r="AU11" s="22" t="e">
        <f t="shared" si="53"/>
        <v>#REF!</v>
      </c>
      <c r="AV11" s="23" t="e">
        <f>IF(SUMPRODUCT($J$67:AU$67,$J11:AU11)&lt;0.5, "Pending", IF(AU11&lt;0.5, "Complete", "In Progress"))</f>
        <v>#REF!</v>
      </c>
      <c r="AW11" s="22">
        <v>0</v>
      </c>
      <c r="AX11" s="22" t="e">
        <f t="shared" si="54"/>
        <v>#REF!</v>
      </c>
      <c r="AY11" s="23" t="e">
        <f>IF(SUMPRODUCT($J$67:AX$67,$J11:AX11)&lt;0.5, "Pending", IF(AX11&lt;0.5, "Complete", "In Progress"))</f>
        <v>#REF!</v>
      </c>
      <c r="AZ11" s="22">
        <v>0</v>
      </c>
      <c r="BA11" s="22" t="e">
        <f t="shared" si="55"/>
        <v>#REF!</v>
      </c>
      <c r="BB11" s="23" t="e">
        <f>IF(SUMPRODUCT($J$67:BA$67,$J11:BA11)&lt;0.5, "Pending", IF(BA11&lt;0.5, "Complete", "In Progress"))</f>
        <v>#REF!</v>
      </c>
      <c r="BC11" s="24"/>
      <c r="BD11" s="94">
        <f>SUMPRODUCT($H$67:X$67,$H11:X11)</f>
        <v>15</v>
      </c>
    </row>
    <row r="12" spans="1:56" x14ac:dyDescent="0.2">
      <c r="A12" s="16"/>
      <c r="B12" s="16"/>
      <c r="C12" s="16"/>
      <c r="D12" s="17"/>
      <c r="E12" s="88" t="s">
        <v>88</v>
      </c>
      <c r="F12" s="18" t="s">
        <v>79</v>
      </c>
      <c r="G12" s="19" t="s">
        <v>74</v>
      </c>
      <c r="H12" s="20">
        <v>1</v>
      </c>
      <c r="I12" s="21">
        <v>10</v>
      </c>
      <c r="J12" s="22">
        <v>0</v>
      </c>
      <c r="K12" s="22">
        <f t="shared" si="42"/>
        <v>10</v>
      </c>
      <c r="L12" s="23" t="str">
        <f>IF(SUMPRODUCT($J$67:K$67,$J12:K12)&lt;0.5, "Pending", IF(K12&lt;0.5, "Complete", "In Progress"))</f>
        <v>Pending</v>
      </c>
      <c r="M12" s="22">
        <v>4</v>
      </c>
      <c r="N12" s="22">
        <f t="shared" si="43"/>
        <v>6</v>
      </c>
      <c r="O12" s="23" t="str">
        <f>IF(SUMPRODUCT($J$67:N$67,$J12:N12)&lt;0.5, "Pending", IF(N12&lt;0.5, "Complete", "In Progress"))</f>
        <v>In Progress</v>
      </c>
      <c r="P12" s="22">
        <v>0</v>
      </c>
      <c r="Q12" s="22">
        <f t="shared" si="44"/>
        <v>6</v>
      </c>
      <c r="R12" s="23" t="str">
        <f>IF(SUMPRODUCT($J$67:Q$67,$J12:Q12)&lt;0.5, "Pending", IF(Q12&lt;0.5, "Complete", "In Progress"))</f>
        <v>In Progress</v>
      </c>
      <c r="S12" s="22">
        <v>0</v>
      </c>
      <c r="T12" s="22">
        <f t="shared" si="45"/>
        <v>6</v>
      </c>
      <c r="U12" s="23" t="str">
        <f>IF(SUMPRODUCT($J$67:T$67,$J12:T12)&lt;0.5, "Pending", IF(T12&lt;0.5, "Complete", "In Progress"))</f>
        <v>In Progress</v>
      </c>
      <c r="V12" s="22">
        <v>0</v>
      </c>
      <c r="W12" s="22">
        <f t="shared" si="46"/>
        <v>6</v>
      </c>
      <c r="X12" s="23" t="str">
        <f>IF(SUMPRODUCT($J$67:W$67,$J12:W12)&lt;0.5, "Pending", IF(W12&lt;0.5, "Complete", "In Progress"))</f>
        <v>In Progress</v>
      </c>
      <c r="Y12" s="22">
        <v>0</v>
      </c>
      <c r="Z12" s="22" t="e">
        <f>MAX(#REF!-Y12,0)</f>
        <v>#REF!</v>
      </c>
      <c r="AA12" s="23" t="e">
        <f>IF(SUMPRODUCT($J$67:Z$67,$J12:Z12)&lt;0.5, "Pending", IF(Z12&lt;0.5, "Complete", "In Progress"))</f>
        <v>#REF!</v>
      </c>
      <c r="AB12" s="22">
        <v>0</v>
      </c>
      <c r="AC12" s="22" t="e">
        <f t="shared" si="47"/>
        <v>#REF!</v>
      </c>
      <c r="AD12" s="23" t="e">
        <f>IF(SUMPRODUCT($J$67:AC$67,$J12:AC12)&lt;0.5, "Pending", IF(AC12&lt;0.5, "Complete", "In Progress"))</f>
        <v>#REF!</v>
      </c>
      <c r="AE12" s="22">
        <v>0</v>
      </c>
      <c r="AF12" s="22" t="e">
        <f t="shared" si="48"/>
        <v>#REF!</v>
      </c>
      <c r="AG12" s="23" t="e">
        <f>IF(SUMPRODUCT($J$67:AF$67,$J12:AF12)&lt;0.5, "Pending", IF(AF12&lt;0.5, "Complete", "In Progress"))</f>
        <v>#REF!</v>
      </c>
      <c r="AH12" s="22">
        <v>0</v>
      </c>
      <c r="AI12" s="22" t="e">
        <f t="shared" si="49"/>
        <v>#REF!</v>
      </c>
      <c r="AJ12" s="23" t="e">
        <f>IF(SUMPRODUCT($J$67:AI$67,$J12:AI12)&lt;0.5, "Pending", IF(AI12&lt;0.5, "Complete", "In Progress"))</f>
        <v>#REF!</v>
      </c>
      <c r="AK12" s="22">
        <v>0</v>
      </c>
      <c r="AL12" s="22" t="e">
        <f t="shared" si="50"/>
        <v>#REF!</v>
      </c>
      <c r="AM12" s="23" t="e">
        <f>IF(SUMPRODUCT($J$67:AL$67,$J12:AL12)&lt;0.5, "Pending", IF(AL12&lt;0.5, "Complete", "In Progress"))</f>
        <v>#REF!</v>
      </c>
      <c r="AN12" s="22">
        <v>0</v>
      </c>
      <c r="AO12" s="22" t="e">
        <f t="shared" si="51"/>
        <v>#REF!</v>
      </c>
      <c r="AP12" s="23" t="e">
        <f>IF(SUMPRODUCT($J$67:AO$67,$J12:AO12)&lt;0.5, "Pending", IF(AO12&lt;0.5, "Complete", "In Progress"))</f>
        <v>#REF!</v>
      </c>
      <c r="AQ12" s="22">
        <v>0</v>
      </c>
      <c r="AR12" s="22" t="e">
        <f t="shared" si="52"/>
        <v>#REF!</v>
      </c>
      <c r="AS12" s="23" t="e">
        <f>IF(SUMPRODUCT($J$67:AR$67,$J12:AR12)&lt;0.5, "Pending", IF(AR12&lt;0.5, "Complete", "In Progress"))</f>
        <v>#REF!</v>
      </c>
      <c r="AT12" s="22">
        <v>0</v>
      </c>
      <c r="AU12" s="22" t="e">
        <f t="shared" si="53"/>
        <v>#REF!</v>
      </c>
      <c r="AV12" s="23" t="e">
        <f>IF(SUMPRODUCT($J$67:AU$67,$J12:AU12)&lt;0.5, "Pending", IF(AU12&lt;0.5, "Complete", "In Progress"))</f>
        <v>#REF!</v>
      </c>
      <c r="AW12" s="22">
        <v>0</v>
      </c>
      <c r="AX12" s="22" t="e">
        <f t="shared" si="54"/>
        <v>#REF!</v>
      </c>
      <c r="AY12" s="23" t="e">
        <f>IF(SUMPRODUCT($J$67:AX$67,$J12:AX12)&lt;0.5, "Pending", IF(AX12&lt;0.5, "Complete", "In Progress"))</f>
        <v>#REF!</v>
      </c>
      <c r="AZ12" s="22">
        <v>0</v>
      </c>
      <c r="BA12" s="22" t="e">
        <f t="shared" si="55"/>
        <v>#REF!</v>
      </c>
      <c r="BB12" s="23" t="e">
        <f>IF(SUMPRODUCT($J$67:BA$67,$J12:BA12)&lt;0.5, "Pending", IF(BA12&lt;0.5, "Complete", "In Progress"))</f>
        <v>#REF!</v>
      </c>
      <c r="BC12" s="24"/>
      <c r="BD12" s="25">
        <f>SUMPRODUCT($H$67:X$67,$H12:X12)</f>
        <v>4</v>
      </c>
    </row>
    <row r="13" spans="1:56" x14ac:dyDescent="0.2">
      <c r="A13" s="16"/>
      <c r="B13" s="16"/>
      <c r="C13" s="16"/>
      <c r="D13" s="17"/>
      <c r="E13" s="88"/>
      <c r="F13" s="18" t="s">
        <v>76</v>
      </c>
      <c r="G13" s="19" t="e">
        <f t="shared" ref="G13:G64" ca="1" si="56">(INDEX(Burndown,ROW(G13)-ROW(G$3),MIN(TODAY()-SprintStart,29)*3+3))</f>
        <v>#REF!</v>
      </c>
      <c r="H13" s="20">
        <v>1</v>
      </c>
      <c r="I13" s="21">
        <v>0</v>
      </c>
      <c r="J13" s="22">
        <v>0</v>
      </c>
      <c r="K13" s="22">
        <f t="shared" si="42"/>
        <v>0</v>
      </c>
      <c r="L13" s="23" t="str">
        <f>IF(SUMPRODUCT($J$67:K$67,$J13:K13)&lt;0.5, "Pending", IF(K13&lt;0.5, "Complete", "In Progress"))</f>
        <v>Pending</v>
      </c>
      <c r="M13" s="22">
        <v>0</v>
      </c>
      <c r="N13" s="22">
        <f t="shared" si="43"/>
        <v>0</v>
      </c>
      <c r="O13" s="23" t="str">
        <f>IF(SUMPRODUCT($J$67:N$67,$J13:N13)&lt;0.5, "Pending", IF(N13&lt;0.5, "Complete", "In Progress"))</f>
        <v>Pending</v>
      </c>
      <c r="P13" s="22">
        <v>0</v>
      </c>
      <c r="Q13" s="22">
        <f t="shared" si="44"/>
        <v>0</v>
      </c>
      <c r="R13" s="23" t="str">
        <f>IF(SUMPRODUCT($J$67:Q$67,$J13:Q13)&lt;0.5, "Pending", IF(Q13&lt;0.5, "Complete", "In Progress"))</f>
        <v>Pending</v>
      </c>
      <c r="S13" s="22">
        <v>0</v>
      </c>
      <c r="T13" s="22">
        <f t="shared" si="45"/>
        <v>0</v>
      </c>
      <c r="U13" s="23" t="str">
        <f>IF(SUMPRODUCT($J$67:T$67,$J13:T13)&lt;0.5, "Pending", IF(T13&lt;0.5, "Complete", "In Progress"))</f>
        <v>Pending</v>
      </c>
      <c r="V13" s="22">
        <v>0</v>
      </c>
      <c r="W13" s="22">
        <f t="shared" si="46"/>
        <v>0</v>
      </c>
      <c r="X13" s="23" t="str">
        <f>IF(SUMPRODUCT($J$67:W$67,$J13:W13)&lt;0.5, "Pending", IF(W13&lt;0.5, "Complete", "In Progress"))</f>
        <v>Pending</v>
      </c>
      <c r="Y13" s="22">
        <v>0</v>
      </c>
      <c r="Z13" s="22" t="e">
        <f>MAX(#REF!-Y13,0)</f>
        <v>#REF!</v>
      </c>
      <c r="AA13" s="23" t="e">
        <f>IF(SUMPRODUCT($J$67:Z$67,$J13:Z13)&lt;0.5, "Pending", IF(Z13&lt;0.5, "Complete", "In Progress"))</f>
        <v>#REF!</v>
      </c>
      <c r="AB13" s="22">
        <v>0</v>
      </c>
      <c r="AC13" s="22" t="e">
        <f t="shared" si="47"/>
        <v>#REF!</v>
      </c>
      <c r="AD13" s="23" t="e">
        <f>IF(SUMPRODUCT($J$67:AC$67,$J13:AC13)&lt;0.5, "Pending", IF(AC13&lt;0.5, "Complete", "In Progress"))</f>
        <v>#REF!</v>
      </c>
      <c r="AE13" s="22">
        <v>0</v>
      </c>
      <c r="AF13" s="22" t="e">
        <f t="shared" si="48"/>
        <v>#REF!</v>
      </c>
      <c r="AG13" s="23" t="e">
        <f>IF(SUMPRODUCT($J$67:AF$67,$J13:AF13)&lt;0.5, "Pending", IF(AF13&lt;0.5, "Complete", "In Progress"))</f>
        <v>#REF!</v>
      </c>
      <c r="AH13" s="22">
        <v>0</v>
      </c>
      <c r="AI13" s="22" t="e">
        <f t="shared" si="49"/>
        <v>#REF!</v>
      </c>
      <c r="AJ13" s="23" t="e">
        <f>IF(SUMPRODUCT($J$67:AI$67,$J13:AI13)&lt;0.5, "Pending", IF(AI13&lt;0.5, "Complete", "In Progress"))</f>
        <v>#REF!</v>
      </c>
      <c r="AK13" s="22">
        <v>0</v>
      </c>
      <c r="AL13" s="22" t="e">
        <f t="shared" si="50"/>
        <v>#REF!</v>
      </c>
      <c r="AM13" s="23" t="e">
        <f>IF(SUMPRODUCT($J$67:AL$67,$J13:AL13)&lt;0.5, "Pending", IF(AL13&lt;0.5, "Complete", "In Progress"))</f>
        <v>#REF!</v>
      </c>
      <c r="AN13" s="22">
        <v>0</v>
      </c>
      <c r="AO13" s="22" t="e">
        <f t="shared" si="51"/>
        <v>#REF!</v>
      </c>
      <c r="AP13" s="23" t="e">
        <f>IF(SUMPRODUCT($J$67:AO$67,$J13:AO13)&lt;0.5, "Pending", IF(AO13&lt;0.5, "Complete", "In Progress"))</f>
        <v>#REF!</v>
      </c>
      <c r="AQ13" s="22">
        <v>0</v>
      </c>
      <c r="AR13" s="22" t="e">
        <f t="shared" si="52"/>
        <v>#REF!</v>
      </c>
      <c r="AS13" s="23" t="e">
        <f>IF(SUMPRODUCT($J$67:AR$67,$J13:AR13)&lt;0.5, "Pending", IF(AR13&lt;0.5, "Complete", "In Progress"))</f>
        <v>#REF!</v>
      </c>
      <c r="AT13" s="22">
        <v>0</v>
      </c>
      <c r="AU13" s="22" t="e">
        <f t="shared" si="53"/>
        <v>#REF!</v>
      </c>
      <c r="AV13" s="23" t="e">
        <f>IF(SUMPRODUCT($J$67:AU$67,$J13:AU13)&lt;0.5, "Pending", IF(AU13&lt;0.5, "Complete", "In Progress"))</f>
        <v>#REF!</v>
      </c>
      <c r="AW13" s="22">
        <v>0</v>
      </c>
      <c r="AX13" s="22" t="e">
        <f t="shared" si="54"/>
        <v>#REF!</v>
      </c>
      <c r="AY13" s="23" t="e">
        <f>IF(SUMPRODUCT($J$67:AX$67,$J13:AX13)&lt;0.5, "Pending", IF(AX13&lt;0.5, "Complete", "In Progress"))</f>
        <v>#REF!</v>
      </c>
      <c r="AZ13" s="22">
        <v>0</v>
      </c>
      <c r="BA13" s="22" t="e">
        <f t="shared" si="55"/>
        <v>#REF!</v>
      </c>
      <c r="BB13" s="23" t="e">
        <f>IF(SUMPRODUCT($J$67:BA$67,$J13:BA13)&lt;0.5, "Pending", IF(BA13&lt;0.5, "Complete", "In Progress"))</f>
        <v>#REF!</v>
      </c>
      <c r="BC13" s="24"/>
      <c r="BD13" s="94">
        <f>SUMPRODUCT($H$67:X$67,$H13:X13)</f>
        <v>0</v>
      </c>
    </row>
    <row r="14" spans="1:56" x14ac:dyDescent="0.2">
      <c r="A14" s="16"/>
      <c r="B14" s="16"/>
      <c r="C14" s="16" t="s">
        <v>90</v>
      </c>
      <c r="D14" s="17"/>
      <c r="E14" s="88" t="s">
        <v>91</v>
      </c>
      <c r="F14" s="18" t="s">
        <v>101</v>
      </c>
      <c r="G14" s="19" t="s">
        <v>73</v>
      </c>
      <c r="H14" s="20">
        <v>1</v>
      </c>
      <c r="I14" s="21">
        <v>2</v>
      </c>
      <c r="J14" s="22">
        <v>2</v>
      </c>
      <c r="K14" s="22">
        <f t="shared" si="42"/>
        <v>0</v>
      </c>
      <c r="L14" s="23" t="str">
        <f>IF(SUMPRODUCT($J$67:K$67,$J14:K14)&lt;0.5, "Pending", IF(K14&lt;0.5, "Complete", "In Progress"))</f>
        <v>Complete</v>
      </c>
      <c r="M14" s="22">
        <v>0</v>
      </c>
      <c r="N14" s="22">
        <f t="shared" si="43"/>
        <v>0</v>
      </c>
      <c r="O14" s="23" t="str">
        <f>IF(SUMPRODUCT($J$67:N$67,$J14:N14)&lt;0.5, "Pending", IF(N14&lt;0.5, "Complete", "In Progress"))</f>
        <v>Complete</v>
      </c>
      <c r="P14" s="22">
        <v>0</v>
      </c>
      <c r="Q14" s="22">
        <f t="shared" si="44"/>
        <v>0</v>
      </c>
      <c r="R14" s="23" t="str">
        <f>IF(SUMPRODUCT($J$67:Q$67,$J14:Q14)&lt;0.5, "Pending", IF(Q14&lt;0.5, "Complete", "In Progress"))</f>
        <v>Complete</v>
      </c>
      <c r="S14" s="22">
        <v>0</v>
      </c>
      <c r="T14" s="22">
        <f t="shared" si="45"/>
        <v>0</v>
      </c>
      <c r="U14" s="23" t="str">
        <f>IF(SUMPRODUCT($J$67:T$67,$J14:T14)&lt;0.5, "Pending", IF(T14&lt;0.5, "Complete", "In Progress"))</f>
        <v>Complete</v>
      </c>
      <c r="V14" s="22">
        <v>0</v>
      </c>
      <c r="W14" s="22">
        <f t="shared" si="46"/>
        <v>0</v>
      </c>
      <c r="X14" s="23" t="str">
        <f>IF(SUMPRODUCT($J$67:W$67,$J14:W14)&lt;0.5, "Pending", IF(W14&lt;0.5, "Complete", "In Progress"))</f>
        <v>Complete</v>
      </c>
      <c r="Y14" s="22">
        <v>0</v>
      </c>
      <c r="Z14" s="22" t="e">
        <f>MAX(#REF!-Y14,0)</f>
        <v>#REF!</v>
      </c>
      <c r="AA14" s="23" t="e">
        <f>IF(SUMPRODUCT($J$67:Z$67,$J14:Z14)&lt;0.5, "Pending", IF(Z14&lt;0.5, "Complete", "In Progress"))</f>
        <v>#REF!</v>
      </c>
      <c r="AB14" s="22">
        <v>0</v>
      </c>
      <c r="AC14" s="22" t="e">
        <f t="shared" si="47"/>
        <v>#REF!</v>
      </c>
      <c r="AD14" s="23" t="e">
        <f>IF(SUMPRODUCT($J$67:AC$67,$J14:AC14)&lt;0.5, "Pending", IF(AC14&lt;0.5, "Complete", "In Progress"))</f>
        <v>#REF!</v>
      </c>
      <c r="AE14" s="22">
        <v>0</v>
      </c>
      <c r="AF14" s="22" t="e">
        <f t="shared" si="48"/>
        <v>#REF!</v>
      </c>
      <c r="AG14" s="23" t="e">
        <f>IF(SUMPRODUCT($J$67:AF$67,$J14:AF14)&lt;0.5, "Pending", IF(AF14&lt;0.5, "Complete", "In Progress"))</f>
        <v>#REF!</v>
      </c>
      <c r="AH14" s="22">
        <v>0</v>
      </c>
      <c r="AI14" s="22" t="e">
        <f t="shared" si="49"/>
        <v>#REF!</v>
      </c>
      <c r="AJ14" s="23" t="e">
        <f>IF(SUMPRODUCT($J$67:AI$67,$J14:AI14)&lt;0.5, "Pending", IF(AI14&lt;0.5, "Complete", "In Progress"))</f>
        <v>#REF!</v>
      </c>
      <c r="AK14" s="22">
        <v>0</v>
      </c>
      <c r="AL14" s="22" t="e">
        <f t="shared" si="50"/>
        <v>#REF!</v>
      </c>
      <c r="AM14" s="23" t="e">
        <f>IF(SUMPRODUCT($J$67:AL$67,$J14:AL14)&lt;0.5, "Pending", IF(AL14&lt;0.5, "Complete", "In Progress"))</f>
        <v>#REF!</v>
      </c>
      <c r="AN14" s="22">
        <v>0</v>
      </c>
      <c r="AO14" s="22" t="e">
        <f t="shared" si="51"/>
        <v>#REF!</v>
      </c>
      <c r="AP14" s="23" t="e">
        <f>IF(SUMPRODUCT($J$67:AO$67,$J14:AO14)&lt;0.5, "Pending", IF(AO14&lt;0.5, "Complete", "In Progress"))</f>
        <v>#REF!</v>
      </c>
      <c r="AQ14" s="22">
        <v>0</v>
      </c>
      <c r="AR14" s="22" t="e">
        <f t="shared" si="52"/>
        <v>#REF!</v>
      </c>
      <c r="AS14" s="23" t="e">
        <f>IF(SUMPRODUCT($J$67:AR$67,$J14:AR14)&lt;0.5, "Pending", IF(AR14&lt;0.5, "Complete", "In Progress"))</f>
        <v>#REF!</v>
      </c>
      <c r="AT14" s="22">
        <v>0</v>
      </c>
      <c r="AU14" s="22" t="e">
        <f t="shared" si="53"/>
        <v>#REF!</v>
      </c>
      <c r="AV14" s="23" t="e">
        <f>IF(SUMPRODUCT($J$67:AU$67,$J14:AU14)&lt;0.5, "Pending", IF(AU14&lt;0.5, "Complete", "In Progress"))</f>
        <v>#REF!</v>
      </c>
      <c r="AW14" s="22">
        <v>0</v>
      </c>
      <c r="AX14" s="22" t="e">
        <f t="shared" si="54"/>
        <v>#REF!</v>
      </c>
      <c r="AY14" s="23" t="e">
        <f>IF(SUMPRODUCT($J$67:AX$67,$J14:AX14)&lt;0.5, "Pending", IF(AX14&lt;0.5, "Complete", "In Progress"))</f>
        <v>#REF!</v>
      </c>
      <c r="AZ14" s="22">
        <v>0</v>
      </c>
      <c r="BA14" s="22" t="e">
        <f t="shared" si="55"/>
        <v>#REF!</v>
      </c>
      <c r="BB14" s="23" t="e">
        <f>IF(SUMPRODUCT($J$67:BA$67,$J14:BA14)&lt;0.5, "Pending", IF(BA14&lt;0.5, "Complete", "In Progress"))</f>
        <v>#REF!</v>
      </c>
      <c r="BC14" s="24"/>
      <c r="BD14" s="25">
        <f>SUMPRODUCT($H$67:X$67,$H14:X14)</f>
        <v>2</v>
      </c>
    </row>
    <row r="15" spans="1:56" x14ac:dyDescent="0.2">
      <c r="A15" s="16"/>
      <c r="B15" s="16"/>
      <c r="C15" s="16"/>
      <c r="D15" s="17"/>
      <c r="E15" s="88" t="s">
        <v>92</v>
      </c>
      <c r="F15" s="18" t="s">
        <v>80</v>
      </c>
      <c r="G15" s="19" t="s">
        <v>73</v>
      </c>
      <c r="H15" s="20">
        <v>1</v>
      </c>
      <c r="I15" s="21">
        <v>4</v>
      </c>
      <c r="J15" s="22">
        <v>0</v>
      </c>
      <c r="K15" s="22">
        <f t="shared" si="42"/>
        <v>4</v>
      </c>
      <c r="L15" s="23" t="str">
        <f>IF(SUMPRODUCT($J$67:K$67,$J15:K15)&lt;0.5, "Pending", IF(K15&lt;0.5, "Complete", "In Progress"))</f>
        <v>Pending</v>
      </c>
      <c r="M15" s="22">
        <v>0</v>
      </c>
      <c r="N15" s="22">
        <f t="shared" si="43"/>
        <v>4</v>
      </c>
      <c r="O15" s="23" t="str">
        <f>IF(SUMPRODUCT($J$67:N$67,$J15:N15)&lt;0.5, "Pending", IF(N15&lt;0.5, "Complete", "In Progress"))</f>
        <v>Pending</v>
      </c>
      <c r="P15" s="22">
        <v>0</v>
      </c>
      <c r="Q15" s="22">
        <f t="shared" si="44"/>
        <v>4</v>
      </c>
      <c r="R15" s="23" t="str">
        <f>IF(SUMPRODUCT($J$67:Q$67,$J15:Q15)&lt;0.5, "Pending", IF(Q15&lt;0.5, "Complete", "In Progress"))</f>
        <v>Pending</v>
      </c>
      <c r="S15" s="22">
        <v>0</v>
      </c>
      <c r="T15" s="22">
        <f t="shared" si="45"/>
        <v>4</v>
      </c>
      <c r="U15" s="23" t="str">
        <f>IF(SUMPRODUCT($J$67:T$67,$J15:T15)&lt;0.5, "Pending", IF(T15&lt;0.5, "Complete", "In Progress"))</f>
        <v>Pending</v>
      </c>
      <c r="V15" s="22">
        <v>0</v>
      </c>
      <c r="W15" s="22">
        <f t="shared" si="46"/>
        <v>4</v>
      </c>
      <c r="X15" s="23" t="str">
        <f>IF(SUMPRODUCT($J$67:W$67,$J15:W15)&lt;0.5, "Pending", IF(W15&lt;0.5, "Complete", "In Progress"))</f>
        <v>Pending</v>
      </c>
      <c r="Y15" s="22">
        <v>0</v>
      </c>
      <c r="Z15" s="22" t="e">
        <f>MAX(#REF!-Y15,0)</f>
        <v>#REF!</v>
      </c>
      <c r="AA15" s="23" t="e">
        <f>IF(SUMPRODUCT($J$67:Z$67,$J15:Z15)&lt;0.5, "Pending", IF(Z15&lt;0.5, "Complete", "In Progress"))</f>
        <v>#REF!</v>
      </c>
      <c r="AB15" s="22">
        <v>0</v>
      </c>
      <c r="AC15" s="22" t="e">
        <f t="shared" si="47"/>
        <v>#REF!</v>
      </c>
      <c r="AD15" s="23" t="e">
        <f>IF(SUMPRODUCT($J$67:AC$67,$J15:AC15)&lt;0.5, "Pending", IF(AC15&lt;0.5, "Complete", "In Progress"))</f>
        <v>#REF!</v>
      </c>
      <c r="AE15" s="22">
        <v>0</v>
      </c>
      <c r="AF15" s="22" t="e">
        <f t="shared" si="48"/>
        <v>#REF!</v>
      </c>
      <c r="AG15" s="23" t="e">
        <f>IF(SUMPRODUCT($J$67:AF$67,$J15:AF15)&lt;0.5, "Pending", IF(AF15&lt;0.5, "Complete", "In Progress"))</f>
        <v>#REF!</v>
      </c>
      <c r="AH15" s="22">
        <v>0</v>
      </c>
      <c r="AI15" s="22" t="e">
        <f t="shared" si="49"/>
        <v>#REF!</v>
      </c>
      <c r="AJ15" s="23" t="e">
        <f>IF(SUMPRODUCT($J$67:AI$67,$J15:AI15)&lt;0.5, "Pending", IF(AI15&lt;0.5, "Complete", "In Progress"))</f>
        <v>#REF!</v>
      </c>
      <c r="AK15" s="22">
        <v>0</v>
      </c>
      <c r="AL15" s="22" t="e">
        <f t="shared" si="50"/>
        <v>#REF!</v>
      </c>
      <c r="AM15" s="23" t="e">
        <f>IF(SUMPRODUCT($J$67:AL$67,$J15:AL15)&lt;0.5, "Pending", IF(AL15&lt;0.5, "Complete", "In Progress"))</f>
        <v>#REF!</v>
      </c>
      <c r="AN15" s="22">
        <v>0</v>
      </c>
      <c r="AO15" s="22" t="e">
        <f t="shared" si="51"/>
        <v>#REF!</v>
      </c>
      <c r="AP15" s="23" t="e">
        <f>IF(SUMPRODUCT($J$67:AO$67,$J15:AO15)&lt;0.5, "Pending", IF(AO15&lt;0.5, "Complete", "In Progress"))</f>
        <v>#REF!</v>
      </c>
      <c r="AQ15" s="22">
        <v>0</v>
      </c>
      <c r="AR15" s="22" t="e">
        <f t="shared" si="52"/>
        <v>#REF!</v>
      </c>
      <c r="AS15" s="23" t="e">
        <f>IF(SUMPRODUCT($J$67:AR$67,$J15:AR15)&lt;0.5, "Pending", IF(AR15&lt;0.5, "Complete", "In Progress"))</f>
        <v>#REF!</v>
      </c>
      <c r="AT15" s="22">
        <v>0</v>
      </c>
      <c r="AU15" s="22" t="e">
        <f t="shared" si="53"/>
        <v>#REF!</v>
      </c>
      <c r="AV15" s="23" t="e">
        <f>IF(SUMPRODUCT($J$67:AU$67,$J15:AU15)&lt;0.5, "Pending", IF(AU15&lt;0.5, "Complete", "In Progress"))</f>
        <v>#REF!</v>
      </c>
      <c r="AW15" s="22">
        <v>0</v>
      </c>
      <c r="AX15" s="22" t="e">
        <f t="shared" si="54"/>
        <v>#REF!</v>
      </c>
      <c r="AY15" s="23" t="e">
        <f>IF(SUMPRODUCT($J$67:AX$67,$J15:AX15)&lt;0.5, "Pending", IF(AX15&lt;0.5, "Complete", "In Progress"))</f>
        <v>#REF!</v>
      </c>
      <c r="AZ15" s="22">
        <v>0</v>
      </c>
      <c r="BA15" s="22" t="e">
        <f t="shared" si="55"/>
        <v>#REF!</v>
      </c>
      <c r="BB15" s="23" t="e">
        <f>IF(SUMPRODUCT($J$67:BA$67,$J15:BA15)&lt;0.5, "Pending", IF(BA15&lt;0.5, "Complete", "In Progress"))</f>
        <v>#REF!</v>
      </c>
      <c r="BC15" s="24"/>
      <c r="BD15" s="94">
        <f>SUMPRODUCT($H$67:X$67,$H15:X15)</f>
        <v>0</v>
      </c>
    </row>
    <row r="16" spans="1:56" x14ac:dyDescent="0.2">
      <c r="A16" s="16"/>
      <c r="B16" s="16"/>
      <c r="C16" s="16"/>
      <c r="D16" s="17"/>
      <c r="E16" s="88" t="s">
        <v>93</v>
      </c>
      <c r="F16" s="18" t="s">
        <v>79</v>
      </c>
      <c r="G16" s="19" t="s">
        <v>74</v>
      </c>
      <c r="H16" s="20">
        <v>1</v>
      </c>
      <c r="I16" s="21">
        <v>2</v>
      </c>
      <c r="J16" s="22">
        <v>0</v>
      </c>
      <c r="K16" s="22">
        <f t="shared" si="42"/>
        <v>2</v>
      </c>
      <c r="L16" s="23" t="str">
        <f>IF(SUMPRODUCT($J$67:K$67,$J16:K16)&lt;0.5, "Pending", IF(K16&lt;0.5, "Complete", "In Progress"))</f>
        <v>Pending</v>
      </c>
      <c r="M16" s="22">
        <v>0</v>
      </c>
      <c r="N16" s="22">
        <f t="shared" si="43"/>
        <v>2</v>
      </c>
      <c r="O16" s="23" t="str">
        <f>IF(SUMPRODUCT($J$67:N$67,$J16:N16)&lt;0.5, "Pending", IF(N16&lt;0.5, "Complete", "In Progress"))</f>
        <v>Pending</v>
      </c>
      <c r="P16" s="22">
        <v>0</v>
      </c>
      <c r="Q16" s="22">
        <f t="shared" si="44"/>
        <v>2</v>
      </c>
      <c r="R16" s="23" t="str">
        <f>IF(SUMPRODUCT($J$67:Q$67,$J16:Q16)&lt;0.5, "Pending", IF(Q16&lt;0.5, "Complete", "In Progress"))</f>
        <v>Pending</v>
      </c>
      <c r="S16" s="22">
        <v>0</v>
      </c>
      <c r="T16" s="22">
        <f t="shared" si="45"/>
        <v>2</v>
      </c>
      <c r="U16" s="23" t="str">
        <f>IF(SUMPRODUCT($J$67:T$67,$J16:T16)&lt;0.5, "Pending", IF(T16&lt;0.5, "Complete", "In Progress"))</f>
        <v>Pending</v>
      </c>
      <c r="V16" s="22">
        <v>0</v>
      </c>
      <c r="W16" s="22">
        <f t="shared" si="46"/>
        <v>2</v>
      </c>
      <c r="X16" s="23" t="str">
        <f>IF(SUMPRODUCT($J$67:W$67,$J16:W16)&lt;0.5, "Pending", IF(W16&lt;0.5, "Complete", "In Progress"))</f>
        <v>Pending</v>
      </c>
      <c r="Y16" s="22">
        <v>0</v>
      </c>
      <c r="Z16" s="22" t="e">
        <f>MAX(#REF!-Y16,0)</f>
        <v>#REF!</v>
      </c>
      <c r="AA16" s="23" t="e">
        <f>IF(SUMPRODUCT($J$67:Z$67,$J16:Z16)&lt;0.5, "Pending", IF(Z16&lt;0.5, "Complete", "In Progress"))</f>
        <v>#REF!</v>
      </c>
      <c r="AB16" s="22">
        <v>0</v>
      </c>
      <c r="AC16" s="22" t="e">
        <f t="shared" si="47"/>
        <v>#REF!</v>
      </c>
      <c r="AD16" s="23" t="e">
        <f>IF(SUMPRODUCT($J$67:AC$67,$J16:AC16)&lt;0.5, "Pending", IF(AC16&lt;0.5, "Complete", "In Progress"))</f>
        <v>#REF!</v>
      </c>
      <c r="AE16" s="22">
        <v>0</v>
      </c>
      <c r="AF16" s="22" t="e">
        <f t="shared" si="48"/>
        <v>#REF!</v>
      </c>
      <c r="AG16" s="23" t="e">
        <f>IF(SUMPRODUCT($J$67:AF$67,$J16:AF16)&lt;0.5, "Pending", IF(AF16&lt;0.5, "Complete", "In Progress"))</f>
        <v>#REF!</v>
      </c>
      <c r="AH16" s="22">
        <v>0</v>
      </c>
      <c r="AI16" s="22" t="e">
        <f t="shared" si="49"/>
        <v>#REF!</v>
      </c>
      <c r="AJ16" s="23" t="e">
        <f>IF(SUMPRODUCT($J$67:AI$67,$J16:AI16)&lt;0.5, "Pending", IF(AI16&lt;0.5, "Complete", "In Progress"))</f>
        <v>#REF!</v>
      </c>
      <c r="AK16" s="22">
        <v>0</v>
      </c>
      <c r="AL16" s="22" t="e">
        <f t="shared" si="50"/>
        <v>#REF!</v>
      </c>
      <c r="AM16" s="23" t="e">
        <f>IF(SUMPRODUCT($J$67:AL$67,$J16:AL16)&lt;0.5, "Pending", IF(AL16&lt;0.5, "Complete", "In Progress"))</f>
        <v>#REF!</v>
      </c>
      <c r="AN16" s="22">
        <v>0</v>
      </c>
      <c r="AO16" s="22" t="e">
        <f t="shared" si="51"/>
        <v>#REF!</v>
      </c>
      <c r="AP16" s="23" t="e">
        <f>IF(SUMPRODUCT($J$67:AO$67,$J16:AO16)&lt;0.5, "Pending", IF(AO16&lt;0.5, "Complete", "In Progress"))</f>
        <v>#REF!</v>
      </c>
      <c r="AQ16" s="22">
        <v>0</v>
      </c>
      <c r="AR16" s="22" t="e">
        <f t="shared" si="52"/>
        <v>#REF!</v>
      </c>
      <c r="AS16" s="23" t="e">
        <f>IF(SUMPRODUCT($J$67:AR$67,$J16:AR16)&lt;0.5, "Pending", IF(AR16&lt;0.5, "Complete", "In Progress"))</f>
        <v>#REF!</v>
      </c>
      <c r="AT16" s="22">
        <v>0</v>
      </c>
      <c r="AU16" s="22" t="e">
        <f t="shared" si="53"/>
        <v>#REF!</v>
      </c>
      <c r="AV16" s="23" t="e">
        <f>IF(SUMPRODUCT($J$67:AU$67,$J16:AU16)&lt;0.5, "Pending", IF(AU16&lt;0.5, "Complete", "In Progress"))</f>
        <v>#REF!</v>
      </c>
      <c r="AW16" s="22">
        <v>0</v>
      </c>
      <c r="AX16" s="22" t="e">
        <f t="shared" si="54"/>
        <v>#REF!</v>
      </c>
      <c r="AY16" s="23" t="e">
        <f>IF(SUMPRODUCT($J$67:AX$67,$J16:AX16)&lt;0.5, "Pending", IF(AX16&lt;0.5, "Complete", "In Progress"))</f>
        <v>#REF!</v>
      </c>
      <c r="AZ16" s="22">
        <v>0</v>
      </c>
      <c r="BA16" s="22" t="e">
        <f t="shared" si="55"/>
        <v>#REF!</v>
      </c>
      <c r="BB16" s="23" t="e">
        <f>IF(SUMPRODUCT($J$67:BA$67,$J16:BA16)&lt;0.5, "Pending", IF(BA16&lt;0.5, "Complete", "In Progress"))</f>
        <v>#REF!</v>
      </c>
      <c r="BC16" s="24"/>
      <c r="BD16" s="25">
        <f>SUMPRODUCT($H$67:X$67,$H16:X16)</f>
        <v>0</v>
      </c>
    </row>
    <row r="17" spans="1:56" x14ac:dyDescent="0.2">
      <c r="A17" s="16"/>
      <c r="B17" s="16"/>
      <c r="C17" s="16"/>
      <c r="D17" s="17"/>
      <c r="E17" s="88"/>
      <c r="F17" s="18" t="s">
        <v>76</v>
      </c>
      <c r="G17" s="19" t="e">
        <f t="shared" ca="1" si="56"/>
        <v>#REF!</v>
      </c>
      <c r="H17" s="20">
        <v>1</v>
      </c>
      <c r="I17" s="21">
        <v>0</v>
      </c>
      <c r="J17" s="22">
        <v>0</v>
      </c>
      <c r="K17" s="22">
        <f t="shared" si="42"/>
        <v>0</v>
      </c>
      <c r="L17" s="23" t="str">
        <f>IF(SUMPRODUCT($J$67:K$67,$J17:K17)&lt;0.5, "Pending", IF(K17&lt;0.5, "Complete", "In Progress"))</f>
        <v>Pending</v>
      </c>
      <c r="M17" s="22">
        <v>0</v>
      </c>
      <c r="N17" s="22">
        <f t="shared" si="43"/>
        <v>0</v>
      </c>
      <c r="O17" s="23" t="str">
        <f>IF(SUMPRODUCT($J$67:N$67,$J17:N17)&lt;0.5, "Pending", IF(N17&lt;0.5, "Complete", "In Progress"))</f>
        <v>Pending</v>
      </c>
      <c r="P17" s="22">
        <v>0</v>
      </c>
      <c r="Q17" s="22">
        <f t="shared" si="44"/>
        <v>0</v>
      </c>
      <c r="R17" s="23" t="str">
        <f>IF(SUMPRODUCT($J$67:Q$67,$J17:Q17)&lt;0.5, "Pending", IF(Q17&lt;0.5, "Complete", "In Progress"))</f>
        <v>Pending</v>
      </c>
      <c r="S17" s="22">
        <v>0</v>
      </c>
      <c r="T17" s="22">
        <f t="shared" si="45"/>
        <v>0</v>
      </c>
      <c r="U17" s="23" t="str">
        <f>IF(SUMPRODUCT($J$67:T$67,$J17:T17)&lt;0.5, "Pending", IF(T17&lt;0.5, "Complete", "In Progress"))</f>
        <v>Pending</v>
      </c>
      <c r="V17" s="22">
        <v>0</v>
      </c>
      <c r="W17" s="22">
        <f t="shared" si="46"/>
        <v>0</v>
      </c>
      <c r="X17" s="23" t="str">
        <f>IF(SUMPRODUCT($J$67:W$67,$J17:W17)&lt;0.5, "Pending", IF(W17&lt;0.5, "Complete", "In Progress"))</f>
        <v>Pending</v>
      </c>
      <c r="Y17" s="22">
        <v>0</v>
      </c>
      <c r="Z17" s="22" t="e">
        <f>MAX(#REF!-Y17,0)</f>
        <v>#REF!</v>
      </c>
      <c r="AA17" s="23" t="e">
        <f>IF(SUMPRODUCT($J$67:Z$67,$J17:Z17)&lt;0.5, "Pending", IF(Z17&lt;0.5, "Complete", "In Progress"))</f>
        <v>#REF!</v>
      </c>
      <c r="AB17" s="22">
        <v>0</v>
      </c>
      <c r="AC17" s="22" t="e">
        <f t="shared" si="47"/>
        <v>#REF!</v>
      </c>
      <c r="AD17" s="23" t="e">
        <f>IF(SUMPRODUCT($J$67:AC$67,$J17:AC17)&lt;0.5, "Pending", IF(AC17&lt;0.5, "Complete", "In Progress"))</f>
        <v>#REF!</v>
      </c>
      <c r="AE17" s="22">
        <v>0</v>
      </c>
      <c r="AF17" s="22" t="e">
        <f t="shared" si="48"/>
        <v>#REF!</v>
      </c>
      <c r="AG17" s="23" t="e">
        <f>IF(SUMPRODUCT($J$67:AF$67,$J17:AF17)&lt;0.5, "Pending", IF(AF17&lt;0.5, "Complete", "In Progress"))</f>
        <v>#REF!</v>
      </c>
      <c r="AH17" s="22">
        <v>0</v>
      </c>
      <c r="AI17" s="22" t="e">
        <f t="shared" si="49"/>
        <v>#REF!</v>
      </c>
      <c r="AJ17" s="23" t="e">
        <f>IF(SUMPRODUCT($J$67:AI$67,$J17:AI17)&lt;0.5, "Pending", IF(AI17&lt;0.5, "Complete", "In Progress"))</f>
        <v>#REF!</v>
      </c>
      <c r="AK17" s="22">
        <v>0</v>
      </c>
      <c r="AL17" s="22" t="e">
        <f t="shared" si="50"/>
        <v>#REF!</v>
      </c>
      <c r="AM17" s="23" t="e">
        <f>IF(SUMPRODUCT($J$67:AL$67,$J17:AL17)&lt;0.5, "Pending", IF(AL17&lt;0.5, "Complete", "In Progress"))</f>
        <v>#REF!</v>
      </c>
      <c r="AN17" s="22">
        <v>0</v>
      </c>
      <c r="AO17" s="22" t="e">
        <f t="shared" si="51"/>
        <v>#REF!</v>
      </c>
      <c r="AP17" s="23" t="e">
        <f>IF(SUMPRODUCT($J$67:AO$67,$J17:AO17)&lt;0.5, "Pending", IF(AO17&lt;0.5, "Complete", "In Progress"))</f>
        <v>#REF!</v>
      </c>
      <c r="AQ17" s="22">
        <v>0</v>
      </c>
      <c r="AR17" s="22" t="e">
        <f t="shared" si="52"/>
        <v>#REF!</v>
      </c>
      <c r="AS17" s="23" t="e">
        <f>IF(SUMPRODUCT($J$67:AR$67,$J17:AR17)&lt;0.5, "Pending", IF(AR17&lt;0.5, "Complete", "In Progress"))</f>
        <v>#REF!</v>
      </c>
      <c r="AT17" s="22">
        <v>0</v>
      </c>
      <c r="AU17" s="22" t="e">
        <f t="shared" si="53"/>
        <v>#REF!</v>
      </c>
      <c r="AV17" s="23" t="e">
        <f>IF(SUMPRODUCT($J$67:AU$67,$J17:AU17)&lt;0.5, "Pending", IF(AU17&lt;0.5, "Complete", "In Progress"))</f>
        <v>#REF!</v>
      </c>
      <c r="AW17" s="22">
        <v>0</v>
      </c>
      <c r="AX17" s="22" t="e">
        <f t="shared" si="54"/>
        <v>#REF!</v>
      </c>
      <c r="AY17" s="23" t="e">
        <f>IF(SUMPRODUCT($J$67:AX$67,$J17:AX17)&lt;0.5, "Pending", IF(AX17&lt;0.5, "Complete", "In Progress"))</f>
        <v>#REF!</v>
      </c>
      <c r="AZ17" s="22">
        <v>0</v>
      </c>
      <c r="BA17" s="22" t="e">
        <f t="shared" si="55"/>
        <v>#REF!</v>
      </c>
      <c r="BB17" s="23" t="e">
        <f>IF(SUMPRODUCT($J$67:BA$67,$J17:BA17)&lt;0.5, "Pending", IF(BA17&lt;0.5, "Complete", "In Progress"))</f>
        <v>#REF!</v>
      </c>
      <c r="BC17" s="24"/>
      <c r="BD17" s="94">
        <f>SUMPRODUCT($H$67:X$67,$H17:X17)</f>
        <v>0</v>
      </c>
    </row>
    <row r="18" spans="1:56" x14ac:dyDescent="0.2">
      <c r="A18" s="16"/>
      <c r="B18" s="16"/>
      <c r="C18" s="16" t="s">
        <v>100</v>
      </c>
      <c r="D18" s="17"/>
      <c r="E18" s="88" t="s">
        <v>91</v>
      </c>
      <c r="F18" s="18" t="s">
        <v>101</v>
      </c>
      <c r="G18" s="19" t="s">
        <v>73</v>
      </c>
      <c r="H18" s="20">
        <v>1</v>
      </c>
      <c r="I18" s="21">
        <v>2</v>
      </c>
      <c r="J18" s="22">
        <v>0</v>
      </c>
      <c r="K18" s="22">
        <f t="shared" si="42"/>
        <v>2</v>
      </c>
      <c r="L18" s="23" t="str">
        <f>IF(SUMPRODUCT($J$67:K$67,$J18:K18)&lt;0.5, "Pending", IF(K18&lt;0.5, "Complete", "In Progress"))</f>
        <v>Pending</v>
      </c>
      <c r="M18" s="22">
        <v>2</v>
      </c>
      <c r="N18" s="22">
        <f t="shared" si="43"/>
        <v>0</v>
      </c>
      <c r="O18" s="23" t="str">
        <f>IF(SUMPRODUCT($J$67:N$67,$J18:N18)&lt;0.5, "Pending", IF(N18&lt;0.5, "Complete", "In Progress"))</f>
        <v>Complete</v>
      </c>
      <c r="P18" s="22">
        <v>0</v>
      </c>
      <c r="Q18" s="22">
        <f t="shared" si="44"/>
        <v>0</v>
      </c>
      <c r="R18" s="23" t="str">
        <f>IF(SUMPRODUCT($J$67:Q$67,$J18:Q18)&lt;0.5, "Pending", IF(Q18&lt;0.5, "Complete", "In Progress"))</f>
        <v>Complete</v>
      </c>
      <c r="S18" s="22">
        <v>0</v>
      </c>
      <c r="T18" s="22">
        <f t="shared" si="45"/>
        <v>0</v>
      </c>
      <c r="U18" s="23" t="str">
        <f>IF(SUMPRODUCT($J$67:T$67,$J18:T18)&lt;0.5, "Pending", IF(T18&lt;0.5, "Complete", "In Progress"))</f>
        <v>Complete</v>
      </c>
      <c r="V18" s="22">
        <v>0</v>
      </c>
      <c r="W18" s="22">
        <f t="shared" si="46"/>
        <v>0</v>
      </c>
      <c r="X18" s="23" t="str">
        <f>IF(SUMPRODUCT($J$67:W$67,$J18:W18)&lt;0.5, "Pending", IF(W18&lt;0.5, "Complete", "In Progress"))</f>
        <v>Complete</v>
      </c>
      <c r="Y18" s="22">
        <v>0</v>
      </c>
      <c r="Z18" s="22" t="e">
        <f>MAX(#REF!-Y18,0)</f>
        <v>#REF!</v>
      </c>
      <c r="AA18" s="23" t="e">
        <f>IF(SUMPRODUCT($J$67:Z$67,$J18:Z18)&lt;0.5, "Pending", IF(Z18&lt;0.5, "Complete", "In Progress"))</f>
        <v>#REF!</v>
      </c>
      <c r="AB18" s="22">
        <v>0</v>
      </c>
      <c r="AC18" s="22" t="e">
        <f t="shared" si="47"/>
        <v>#REF!</v>
      </c>
      <c r="AD18" s="23" t="e">
        <f>IF(SUMPRODUCT($J$67:AC$67,$J18:AC18)&lt;0.5, "Pending", IF(AC18&lt;0.5, "Complete", "In Progress"))</f>
        <v>#REF!</v>
      </c>
      <c r="AE18" s="22">
        <v>0</v>
      </c>
      <c r="AF18" s="22" t="e">
        <f t="shared" si="48"/>
        <v>#REF!</v>
      </c>
      <c r="AG18" s="23" t="e">
        <f>IF(SUMPRODUCT($J$67:AF$67,$J18:AF18)&lt;0.5, "Pending", IF(AF18&lt;0.5, "Complete", "In Progress"))</f>
        <v>#REF!</v>
      </c>
      <c r="AH18" s="22">
        <v>0</v>
      </c>
      <c r="AI18" s="22" t="e">
        <f t="shared" si="49"/>
        <v>#REF!</v>
      </c>
      <c r="AJ18" s="23" t="e">
        <f>IF(SUMPRODUCT($J$67:AI$67,$J18:AI18)&lt;0.5, "Pending", IF(AI18&lt;0.5, "Complete", "In Progress"))</f>
        <v>#REF!</v>
      </c>
      <c r="AK18" s="22">
        <v>0</v>
      </c>
      <c r="AL18" s="22" t="e">
        <f t="shared" si="50"/>
        <v>#REF!</v>
      </c>
      <c r="AM18" s="23" t="e">
        <f>IF(SUMPRODUCT($J$67:AL$67,$J18:AL18)&lt;0.5, "Pending", IF(AL18&lt;0.5, "Complete", "In Progress"))</f>
        <v>#REF!</v>
      </c>
      <c r="AN18" s="22">
        <v>0</v>
      </c>
      <c r="AO18" s="22" t="e">
        <f t="shared" si="51"/>
        <v>#REF!</v>
      </c>
      <c r="AP18" s="23" t="e">
        <f>IF(SUMPRODUCT($J$67:AO$67,$J18:AO18)&lt;0.5, "Pending", IF(AO18&lt;0.5, "Complete", "In Progress"))</f>
        <v>#REF!</v>
      </c>
      <c r="AQ18" s="22">
        <v>0</v>
      </c>
      <c r="AR18" s="22" t="e">
        <f t="shared" si="52"/>
        <v>#REF!</v>
      </c>
      <c r="AS18" s="23" t="e">
        <f>IF(SUMPRODUCT($J$67:AR$67,$J18:AR18)&lt;0.5, "Pending", IF(AR18&lt;0.5, "Complete", "In Progress"))</f>
        <v>#REF!</v>
      </c>
      <c r="AT18" s="22">
        <v>0</v>
      </c>
      <c r="AU18" s="22" t="e">
        <f t="shared" si="53"/>
        <v>#REF!</v>
      </c>
      <c r="AV18" s="23" t="e">
        <f>IF(SUMPRODUCT($J$67:AU$67,$J18:AU18)&lt;0.5, "Pending", IF(AU18&lt;0.5, "Complete", "In Progress"))</f>
        <v>#REF!</v>
      </c>
      <c r="AW18" s="22">
        <v>0</v>
      </c>
      <c r="AX18" s="22" t="e">
        <f t="shared" si="54"/>
        <v>#REF!</v>
      </c>
      <c r="AY18" s="23" t="e">
        <f>IF(SUMPRODUCT($J$67:AX$67,$J18:AX18)&lt;0.5, "Pending", IF(AX18&lt;0.5, "Complete", "In Progress"))</f>
        <v>#REF!</v>
      </c>
      <c r="AZ18" s="22">
        <v>0</v>
      </c>
      <c r="BA18" s="22" t="e">
        <f t="shared" si="55"/>
        <v>#REF!</v>
      </c>
      <c r="BB18" s="23" t="e">
        <f>IF(SUMPRODUCT($J$67:BA$67,$J18:BA18)&lt;0.5, "Pending", IF(BA18&lt;0.5, "Complete", "In Progress"))</f>
        <v>#REF!</v>
      </c>
      <c r="BC18" s="24"/>
      <c r="BD18" s="25">
        <f>SUMPRODUCT($H$67:X$67,$H18:X18)</f>
        <v>2</v>
      </c>
    </row>
    <row r="19" spans="1:56" x14ac:dyDescent="0.2">
      <c r="A19" s="16"/>
      <c r="B19" s="16"/>
      <c r="C19" s="16"/>
      <c r="D19" s="17"/>
      <c r="E19" s="88" t="s">
        <v>92</v>
      </c>
      <c r="F19" s="18" t="s">
        <v>80</v>
      </c>
      <c r="G19" s="19" t="s">
        <v>73</v>
      </c>
      <c r="H19" s="20">
        <v>1</v>
      </c>
      <c r="I19" s="21">
        <v>4</v>
      </c>
      <c r="J19" s="22">
        <v>0</v>
      </c>
      <c r="K19" s="22">
        <f t="shared" si="42"/>
        <v>4</v>
      </c>
      <c r="L19" s="23" t="str">
        <f>IF(SUMPRODUCT($J$67:K$67,$J19:K19)&lt;0.5, "Pending", IF(K19&lt;0.5, "Complete", "In Progress"))</f>
        <v>Pending</v>
      </c>
      <c r="M19" s="22">
        <v>2</v>
      </c>
      <c r="N19" s="22">
        <f t="shared" si="43"/>
        <v>2</v>
      </c>
      <c r="O19" s="23" t="str">
        <f>IF(SUMPRODUCT($J$67:N$67,$J19:N19)&lt;0.5, "Pending", IF(N19&lt;0.5, "Complete", "In Progress"))</f>
        <v>In Progress</v>
      </c>
      <c r="P19" s="22">
        <v>3</v>
      </c>
      <c r="Q19" s="22">
        <f t="shared" si="44"/>
        <v>0</v>
      </c>
      <c r="R19" s="23" t="str">
        <f>IF(SUMPRODUCT($J$67:Q$67,$J19:Q19)&lt;0.5, "Pending", IF(Q19&lt;0.5, "Complete", "In Progress"))</f>
        <v>Complete</v>
      </c>
      <c r="S19" s="22">
        <v>0</v>
      </c>
      <c r="T19" s="22">
        <f t="shared" si="45"/>
        <v>0</v>
      </c>
      <c r="U19" s="23" t="str">
        <f>IF(SUMPRODUCT($J$67:T$67,$J19:T19)&lt;0.5, "Pending", IF(T19&lt;0.5, "Complete", "In Progress"))</f>
        <v>Complete</v>
      </c>
      <c r="V19" s="22">
        <v>0</v>
      </c>
      <c r="W19" s="22">
        <f t="shared" si="46"/>
        <v>0</v>
      </c>
      <c r="X19" s="23" t="str">
        <f>IF(SUMPRODUCT($J$67:W$67,$J19:W19)&lt;0.5, "Pending", IF(W19&lt;0.5, "Complete", "In Progress"))</f>
        <v>Complete</v>
      </c>
      <c r="Y19" s="22">
        <v>0</v>
      </c>
      <c r="Z19" s="22" t="e">
        <f>MAX(#REF!-Y19,0)</f>
        <v>#REF!</v>
      </c>
      <c r="AA19" s="23" t="e">
        <f>IF(SUMPRODUCT($J$67:Z$67,$J19:Z19)&lt;0.5, "Pending", IF(Z19&lt;0.5, "Complete", "In Progress"))</f>
        <v>#REF!</v>
      </c>
      <c r="AB19" s="22">
        <v>0</v>
      </c>
      <c r="AC19" s="22" t="e">
        <f t="shared" si="47"/>
        <v>#REF!</v>
      </c>
      <c r="AD19" s="23" t="e">
        <f>IF(SUMPRODUCT($J$67:AC$67,$J19:AC19)&lt;0.5, "Pending", IF(AC19&lt;0.5, "Complete", "In Progress"))</f>
        <v>#REF!</v>
      </c>
      <c r="AE19" s="22">
        <v>0</v>
      </c>
      <c r="AF19" s="22" t="e">
        <f t="shared" si="48"/>
        <v>#REF!</v>
      </c>
      <c r="AG19" s="23" t="e">
        <f>IF(SUMPRODUCT($J$67:AF$67,$J19:AF19)&lt;0.5, "Pending", IF(AF19&lt;0.5, "Complete", "In Progress"))</f>
        <v>#REF!</v>
      </c>
      <c r="AH19" s="22">
        <v>0</v>
      </c>
      <c r="AI19" s="22" t="e">
        <f t="shared" si="49"/>
        <v>#REF!</v>
      </c>
      <c r="AJ19" s="23" t="e">
        <f>IF(SUMPRODUCT($J$67:AI$67,$J19:AI19)&lt;0.5, "Pending", IF(AI19&lt;0.5, "Complete", "In Progress"))</f>
        <v>#REF!</v>
      </c>
      <c r="AK19" s="22">
        <v>0</v>
      </c>
      <c r="AL19" s="22" t="e">
        <f t="shared" si="50"/>
        <v>#REF!</v>
      </c>
      <c r="AM19" s="23" t="e">
        <f>IF(SUMPRODUCT($J$67:AL$67,$J19:AL19)&lt;0.5, "Pending", IF(AL19&lt;0.5, "Complete", "In Progress"))</f>
        <v>#REF!</v>
      </c>
      <c r="AN19" s="22">
        <v>0</v>
      </c>
      <c r="AO19" s="22" t="e">
        <f t="shared" si="51"/>
        <v>#REF!</v>
      </c>
      <c r="AP19" s="23" t="e">
        <f>IF(SUMPRODUCT($J$67:AO$67,$J19:AO19)&lt;0.5, "Pending", IF(AO19&lt;0.5, "Complete", "In Progress"))</f>
        <v>#REF!</v>
      </c>
      <c r="AQ19" s="22">
        <v>0</v>
      </c>
      <c r="AR19" s="22" t="e">
        <f t="shared" si="52"/>
        <v>#REF!</v>
      </c>
      <c r="AS19" s="23" t="e">
        <f>IF(SUMPRODUCT($J$67:AR$67,$J19:AR19)&lt;0.5, "Pending", IF(AR19&lt;0.5, "Complete", "In Progress"))</f>
        <v>#REF!</v>
      </c>
      <c r="AT19" s="22">
        <v>0</v>
      </c>
      <c r="AU19" s="22" t="e">
        <f t="shared" si="53"/>
        <v>#REF!</v>
      </c>
      <c r="AV19" s="23" t="e">
        <f>IF(SUMPRODUCT($J$67:AU$67,$J19:AU19)&lt;0.5, "Pending", IF(AU19&lt;0.5, "Complete", "In Progress"))</f>
        <v>#REF!</v>
      </c>
      <c r="AW19" s="22">
        <v>0</v>
      </c>
      <c r="AX19" s="22" t="e">
        <f t="shared" si="54"/>
        <v>#REF!</v>
      </c>
      <c r="AY19" s="23" t="e">
        <f>IF(SUMPRODUCT($J$67:AX$67,$J19:AX19)&lt;0.5, "Pending", IF(AX19&lt;0.5, "Complete", "In Progress"))</f>
        <v>#REF!</v>
      </c>
      <c r="AZ19" s="22">
        <v>0</v>
      </c>
      <c r="BA19" s="22" t="e">
        <f t="shared" si="55"/>
        <v>#REF!</v>
      </c>
      <c r="BB19" s="23" t="e">
        <f>IF(SUMPRODUCT($J$67:BA$67,$J19:BA19)&lt;0.5, "Pending", IF(BA19&lt;0.5, "Complete", "In Progress"))</f>
        <v>#REF!</v>
      </c>
      <c r="BC19" s="24"/>
      <c r="BD19" s="94">
        <f>SUMPRODUCT($H$67:X$67,$H19:X19)</f>
        <v>5</v>
      </c>
    </row>
    <row r="20" spans="1:56" x14ac:dyDescent="0.2">
      <c r="A20" s="16"/>
      <c r="B20" s="16"/>
      <c r="C20" s="16"/>
      <c r="D20" s="17"/>
      <c r="E20" s="88" t="s">
        <v>93</v>
      </c>
      <c r="F20" s="18" t="s">
        <v>79</v>
      </c>
      <c r="G20" s="19" t="s">
        <v>73</v>
      </c>
      <c r="H20" s="20">
        <v>1</v>
      </c>
      <c r="I20" s="21">
        <v>2</v>
      </c>
      <c r="J20" s="22">
        <v>0</v>
      </c>
      <c r="K20" s="22">
        <f t="shared" si="42"/>
        <v>2</v>
      </c>
      <c r="L20" s="23" t="str">
        <f>IF(SUMPRODUCT($J$67:K$67,$J20:K20)&lt;0.5, "Pending", IF(K20&lt;0.5, "Complete", "In Progress"))</f>
        <v>Pending</v>
      </c>
      <c r="M20" s="22">
        <v>0</v>
      </c>
      <c r="N20" s="22">
        <f t="shared" si="43"/>
        <v>2</v>
      </c>
      <c r="O20" s="23" t="str">
        <f>IF(SUMPRODUCT($J$67:N$67,$J20:N20)&lt;0.5, "Pending", IF(N20&lt;0.5, "Complete", "In Progress"))</f>
        <v>Pending</v>
      </c>
      <c r="P20" s="22">
        <v>0</v>
      </c>
      <c r="Q20" s="22">
        <f t="shared" si="44"/>
        <v>2</v>
      </c>
      <c r="R20" s="23" t="str">
        <f>IF(SUMPRODUCT($J$67:Q$67,$J20:Q20)&lt;0.5, "Pending", IF(Q20&lt;0.5, "Complete", "In Progress"))</f>
        <v>Pending</v>
      </c>
      <c r="S20" s="22">
        <v>0</v>
      </c>
      <c r="T20" s="22">
        <f t="shared" si="45"/>
        <v>2</v>
      </c>
      <c r="U20" s="23" t="str">
        <f>IF(SUMPRODUCT($J$67:T$67,$J20:T20)&lt;0.5, "Pending", IF(T20&lt;0.5, "Complete", "In Progress"))</f>
        <v>Pending</v>
      </c>
      <c r="V20" s="22">
        <v>0</v>
      </c>
      <c r="W20" s="22">
        <f t="shared" si="46"/>
        <v>2</v>
      </c>
      <c r="X20" s="23" t="str">
        <f>IF(SUMPRODUCT($J$67:W$67,$J20:W20)&lt;0.5, "Pending", IF(W20&lt;0.5, "Complete", "In Progress"))</f>
        <v>Pending</v>
      </c>
      <c r="Y20" s="22">
        <v>0</v>
      </c>
      <c r="Z20" s="22" t="e">
        <f>MAX(#REF!-Y20,0)</f>
        <v>#REF!</v>
      </c>
      <c r="AA20" s="23" t="e">
        <f>IF(SUMPRODUCT($J$67:Z$67,$J20:Z20)&lt;0.5, "Pending", IF(Z20&lt;0.5, "Complete", "In Progress"))</f>
        <v>#REF!</v>
      </c>
      <c r="AB20" s="22">
        <v>0</v>
      </c>
      <c r="AC20" s="22" t="e">
        <f t="shared" si="47"/>
        <v>#REF!</v>
      </c>
      <c r="AD20" s="23" t="e">
        <f>IF(SUMPRODUCT($J$67:AC$67,$J20:AC20)&lt;0.5, "Pending", IF(AC20&lt;0.5, "Complete", "In Progress"))</f>
        <v>#REF!</v>
      </c>
      <c r="AE20" s="22">
        <v>0</v>
      </c>
      <c r="AF20" s="22" t="e">
        <f t="shared" si="48"/>
        <v>#REF!</v>
      </c>
      <c r="AG20" s="23" t="e">
        <f>IF(SUMPRODUCT($J$67:AF$67,$J20:AF20)&lt;0.5, "Pending", IF(AF20&lt;0.5, "Complete", "In Progress"))</f>
        <v>#REF!</v>
      </c>
      <c r="AH20" s="22">
        <v>0</v>
      </c>
      <c r="AI20" s="22" t="e">
        <f t="shared" si="49"/>
        <v>#REF!</v>
      </c>
      <c r="AJ20" s="23" t="e">
        <f>IF(SUMPRODUCT($J$67:AI$67,$J20:AI20)&lt;0.5, "Pending", IF(AI20&lt;0.5, "Complete", "In Progress"))</f>
        <v>#REF!</v>
      </c>
      <c r="AK20" s="22">
        <v>0</v>
      </c>
      <c r="AL20" s="22" t="e">
        <f t="shared" si="50"/>
        <v>#REF!</v>
      </c>
      <c r="AM20" s="23" t="e">
        <f>IF(SUMPRODUCT($J$67:AL$67,$J20:AL20)&lt;0.5, "Pending", IF(AL20&lt;0.5, "Complete", "In Progress"))</f>
        <v>#REF!</v>
      </c>
      <c r="AN20" s="22">
        <v>0</v>
      </c>
      <c r="AO20" s="22" t="e">
        <f t="shared" si="51"/>
        <v>#REF!</v>
      </c>
      <c r="AP20" s="23" t="e">
        <f>IF(SUMPRODUCT($J$67:AO$67,$J20:AO20)&lt;0.5, "Pending", IF(AO20&lt;0.5, "Complete", "In Progress"))</f>
        <v>#REF!</v>
      </c>
      <c r="AQ20" s="22">
        <v>0</v>
      </c>
      <c r="AR20" s="22" t="e">
        <f t="shared" si="52"/>
        <v>#REF!</v>
      </c>
      <c r="AS20" s="23" t="e">
        <f>IF(SUMPRODUCT($J$67:AR$67,$J20:AR20)&lt;0.5, "Pending", IF(AR20&lt;0.5, "Complete", "In Progress"))</f>
        <v>#REF!</v>
      </c>
      <c r="AT20" s="22">
        <v>0</v>
      </c>
      <c r="AU20" s="22" t="e">
        <f t="shared" si="53"/>
        <v>#REF!</v>
      </c>
      <c r="AV20" s="23" t="e">
        <f>IF(SUMPRODUCT($J$67:AU$67,$J20:AU20)&lt;0.5, "Pending", IF(AU20&lt;0.5, "Complete", "In Progress"))</f>
        <v>#REF!</v>
      </c>
      <c r="AW20" s="22">
        <v>0</v>
      </c>
      <c r="AX20" s="22" t="e">
        <f t="shared" si="54"/>
        <v>#REF!</v>
      </c>
      <c r="AY20" s="23" t="e">
        <f>IF(SUMPRODUCT($J$67:AX$67,$J20:AX20)&lt;0.5, "Pending", IF(AX20&lt;0.5, "Complete", "In Progress"))</f>
        <v>#REF!</v>
      </c>
      <c r="AZ20" s="22">
        <v>0</v>
      </c>
      <c r="BA20" s="22" t="e">
        <f t="shared" si="55"/>
        <v>#REF!</v>
      </c>
      <c r="BB20" s="23" t="e">
        <f>IF(SUMPRODUCT($J$67:BA$67,$J20:BA20)&lt;0.5, "Pending", IF(BA20&lt;0.5, "Complete", "In Progress"))</f>
        <v>#REF!</v>
      </c>
      <c r="BC20" s="24"/>
      <c r="BD20" s="25">
        <f>SUMPRODUCT($H$67:X$67,$H20:X20)</f>
        <v>0</v>
      </c>
    </row>
    <row r="21" spans="1:56" x14ac:dyDescent="0.2">
      <c r="A21" s="16"/>
      <c r="B21" s="16"/>
      <c r="C21" s="16"/>
      <c r="D21" s="17"/>
      <c r="E21" s="88"/>
      <c r="F21" s="18" t="s">
        <v>76</v>
      </c>
      <c r="G21" s="19" t="s">
        <v>98</v>
      </c>
      <c r="H21" s="20">
        <v>1</v>
      </c>
      <c r="I21" s="21">
        <v>0</v>
      </c>
      <c r="J21" s="22">
        <v>0</v>
      </c>
      <c r="K21" s="22">
        <f t="shared" si="42"/>
        <v>0</v>
      </c>
      <c r="L21" s="23" t="str">
        <f>IF(SUMPRODUCT($J$67:K$67,$J21:K21)&lt;0.5, "Pending", IF(K21&lt;0.5, "Complete", "In Progress"))</f>
        <v>Pending</v>
      </c>
      <c r="M21" s="22">
        <v>0</v>
      </c>
      <c r="N21" s="22">
        <f t="shared" si="43"/>
        <v>0</v>
      </c>
      <c r="O21" s="23" t="str">
        <f>IF(SUMPRODUCT($J$67:N$67,$J21:N21)&lt;0.5, "Pending", IF(N21&lt;0.5, "Complete", "In Progress"))</f>
        <v>Pending</v>
      </c>
      <c r="P21" s="22">
        <v>0</v>
      </c>
      <c r="Q21" s="22">
        <f t="shared" si="44"/>
        <v>0</v>
      </c>
      <c r="R21" s="23" t="str">
        <f>IF(SUMPRODUCT($J$67:Q$67,$J21:Q21)&lt;0.5, "Pending", IF(Q21&lt;0.5, "Complete", "In Progress"))</f>
        <v>Pending</v>
      </c>
      <c r="S21" s="22">
        <v>0</v>
      </c>
      <c r="T21" s="22">
        <f t="shared" si="45"/>
        <v>0</v>
      </c>
      <c r="U21" s="23" t="str">
        <f>IF(SUMPRODUCT($J$67:T$67,$J21:T21)&lt;0.5, "Pending", IF(T21&lt;0.5, "Complete", "In Progress"))</f>
        <v>Pending</v>
      </c>
      <c r="V21" s="22">
        <v>0</v>
      </c>
      <c r="W21" s="22">
        <f t="shared" si="46"/>
        <v>0</v>
      </c>
      <c r="X21" s="23" t="str">
        <f>IF(SUMPRODUCT($J$67:W$67,$J21:W21)&lt;0.5, "Pending", IF(W21&lt;0.5, "Complete", "In Progress"))</f>
        <v>Pending</v>
      </c>
      <c r="Y21" s="22">
        <v>0</v>
      </c>
      <c r="Z21" s="22" t="e">
        <f>MAX(#REF!-Y21,0)</f>
        <v>#REF!</v>
      </c>
      <c r="AA21" s="23" t="e">
        <f>IF(SUMPRODUCT($J$67:Z$67,$J21:Z21)&lt;0.5, "Pending", IF(Z21&lt;0.5, "Complete", "In Progress"))</f>
        <v>#REF!</v>
      </c>
      <c r="AB21" s="22">
        <v>0</v>
      </c>
      <c r="AC21" s="22" t="e">
        <f t="shared" si="47"/>
        <v>#REF!</v>
      </c>
      <c r="AD21" s="23" t="e">
        <f>IF(SUMPRODUCT($J$67:AC$67,$J21:AC21)&lt;0.5, "Pending", IF(AC21&lt;0.5, "Complete", "In Progress"))</f>
        <v>#REF!</v>
      </c>
      <c r="AE21" s="22">
        <v>0</v>
      </c>
      <c r="AF21" s="22" t="e">
        <f t="shared" si="48"/>
        <v>#REF!</v>
      </c>
      <c r="AG21" s="23" t="e">
        <f>IF(SUMPRODUCT($J$67:AF$67,$J21:AF21)&lt;0.5, "Pending", IF(AF21&lt;0.5, "Complete", "In Progress"))</f>
        <v>#REF!</v>
      </c>
      <c r="AH21" s="22">
        <v>0</v>
      </c>
      <c r="AI21" s="22" t="e">
        <f t="shared" si="49"/>
        <v>#REF!</v>
      </c>
      <c r="AJ21" s="23" t="e">
        <f>IF(SUMPRODUCT($J$67:AI$67,$J21:AI21)&lt;0.5, "Pending", IF(AI21&lt;0.5, "Complete", "In Progress"))</f>
        <v>#REF!</v>
      </c>
      <c r="AK21" s="22">
        <v>0</v>
      </c>
      <c r="AL21" s="22" t="e">
        <f t="shared" si="50"/>
        <v>#REF!</v>
      </c>
      <c r="AM21" s="23" t="e">
        <f>IF(SUMPRODUCT($J$67:AL$67,$J21:AL21)&lt;0.5, "Pending", IF(AL21&lt;0.5, "Complete", "In Progress"))</f>
        <v>#REF!</v>
      </c>
      <c r="AN21" s="22">
        <v>0</v>
      </c>
      <c r="AO21" s="22" t="e">
        <f t="shared" si="51"/>
        <v>#REF!</v>
      </c>
      <c r="AP21" s="23" t="e">
        <f>IF(SUMPRODUCT($J$67:AO$67,$J21:AO21)&lt;0.5, "Pending", IF(AO21&lt;0.5, "Complete", "In Progress"))</f>
        <v>#REF!</v>
      </c>
      <c r="AQ21" s="22">
        <v>0</v>
      </c>
      <c r="AR21" s="22" t="e">
        <f t="shared" si="52"/>
        <v>#REF!</v>
      </c>
      <c r="AS21" s="23" t="e">
        <f>IF(SUMPRODUCT($J$67:AR$67,$J21:AR21)&lt;0.5, "Pending", IF(AR21&lt;0.5, "Complete", "In Progress"))</f>
        <v>#REF!</v>
      </c>
      <c r="AT21" s="22">
        <v>0</v>
      </c>
      <c r="AU21" s="22" t="e">
        <f t="shared" si="53"/>
        <v>#REF!</v>
      </c>
      <c r="AV21" s="23" t="e">
        <f>IF(SUMPRODUCT($J$67:AU$67,$J21:AU21)&lt;0.5, "Pending", IF(AU21&lt;0.5, "Complete", "In Progress"))</f>
        <v>#REF!</v>
      </c>
      <c r="AW21" s="22">
        <v>0</v>
      </c>
      <c r="AX21" s="22" t="e">
        <f t="shared" si="54"/>
        <v>#REF!</v>
      </c>
      <c r="AY21" s="23" t="e">
        <f>IF(SUMPRODUCT($J$67:AX$67,$J21:AX21)&lt;0.5, "Pending", IF(AX21&lt;0.5, "Complete", "In Progress"))</f>
        <v>#REF!</v>
      </c>
      <c r="AZ21" s="22">
        <v>0</v>
      </c>
      <c r="BA21" s="22" t="e">
        <f t="shared" si="55"/>
        <v>#REF!</v>
      </c>
      <c r="BB21" s="23" t="e">
        <f>IF(SUMPRODUCT($J$67:BA$67,$J21:BA21)&lt;0.5, "Pending", IF(BA21&lt;0.5, "Complete", "In Progress"))</f>
        <v>#REF!</v>
      </c>
      <c r="BC21" s="24"/>
      <c r="BD21" s="94">
        <f>SUMPRODUCT($H$67:X$67,$H21:X21)</f>
        <v>0</v>
      </c>
    </row>
    <row r="22" spans="1:56" x14ac:dyDescent="0.2">
      <c r="A22" s="16"/>
      <c r="B22" s="16"/>
      <c r="C22" s="16" t="s">
        <v>94</v>
      </c>
      <c r="D22" s="17"/>
      <c r="E22" s="88" t="s">
        <v>91</v>
      </c>
      <c r="F22" s="18" t="s">
        <v>102</v>
      </c>
      <c r="G22" s="19" t="s">
        <v>104</v>
      </c>
      <c r="H22" s="20">
        <v>1</v>
      </c>
      <c r="I22" s="21">
        <v>4</v>
      </c>
      <c r="J22" s="22">
        <v>0</v>
      </c>
      <c r="K22" s="22">
        <f t="shared" si="42"/>
        <v>4</v>
      </c>
      <c r="L22" s="23" t="str">
        <f>IF(SUMPRODUCT($J$67:K$67,$J22:K22)&lt;0.5, "Pending", IF(K22&lt;0.5, "Complete", "In Progress"))</f>
        <v>Pending</v>
      </c>
      <c r="M22" s="22">
        <v>2</v>
      </c>
      <c r="N22" s="22">
        <f t="shared" si="43"/>
        <v>2</v>
      </c>
      <c r="O22" s="23" t="str">
        <f>IF(SUMPRODUCT($J$67:N$67,$J22:N22)&lt;0.5, "Pending", IF(N22&lt;0.5, "Complete", "In Progress"))</f>
        <v>In Progress</v>
      </c>
      <c r="P22" s="22">
        <v>2</v>
      </c>
      <c r="Q22" s="22">
        <f t="shared" si="44"/>
        <v>0</v>
      </c>
      <c r="R22" s="23" t="str">
        <f>IF(SUMPRODUCT($J$67:Q$67,$J22:Q22)&lt;0.5, "Pending", IF(Q22&lt;0.5, "Complete", "In Progress"))</f>
        <v>Complete</v>
      </c>
      <c r="S22" s="22">
        <v>0</v>
      </c>
      <c r="T22" s="22">
        <f t="shared" si="45"/>
        <v>0</v>
      </c>
      <c r="U22" s="23" t="str">
        <f>IF(SUMPRODUCT($J$67:T$67,$J22:T22)&lt;0.5, "Pending", IF(T22&lt;0.5, "Complete", "In Progress"))</f>
        <v>Complete</v>
      </c>
      <c r="V22" s="22">
        <v>0</v>
      </c>
      <c r="W22" s="22">
        <f t="shared" si="46"/>
        <v>0</v>
      </c>
      <c r="X22" s="23" t="str">
        <f>IF(SUMPRODUCT($J$67:W$67,$J22:W22)&lt;0.5, "Pending", IF(W22&lt;0.5, "Complete", "In Progress"))</f>
        <v>Complete</v>
      </c>
      <c r="Y22" s="22">
        <v>0</v>
      </c>
      <c r="Z22" s="22" t="e">
        <f>MAX(#REF!-Y22,0)</f>
        <v>#REF!</v>
      </c>
      <c r="AA22" s="23" t="e">
        <f>IF(SUMPRODUCT($J$67:Z$67,$J22:Z22)&lt;0.5, "Pending", IF(Z22&lt;0.5, "Complete", "In Progress"))</f>
        <v>#REF!</v>
      </c>
      <c r="AB22" s="22">
        <v>0</v>
      </c>
      <c r="AC22" s="22" t="e">
        <f t="shared" si="47"/>
        <v>#REF!</v>
      </c>
      <c r="AD22" s="23" t="e">
        <f>IF(SUMPRODUCT($J$67:AC$67,$J22:AC22)&lt;0.5, "Pending", IF(AC22&lt;0.5, "Complete", "In Progress"))</f>
        <v>#REF!</v>
      </c>
      <c r="AE22" s="22">
        <v>0</v>
      </c>
      <c r="AF22" s="22" t="e">
        <f t="shared" si="48"/>
        <v>#REF!</v>
      </c>
      <c r="AG22" s="23" t="e">
        <f>IF(SUMPRODUCT($J$67:AF$67,$J22:AF22)&lt;0.5, "Pending", IF(AF22&lt;0.5, "Complete", "In Progress"))</f>
        <v>#REF!</v>
      </c>
      <c r="AH22" s="22">
        <v>0</v>
      </c>
      <c r="AI22" s="22" t="e">
        <f t="shared" si="49"/>
        <v>#REF!</v>
      </c>
      <c r="AJ22" s="23" t="e">
        <f>IF(SUMPRODUCT($J$67:AI$67,$J22:AI22)&lt;0.5, "Pending", IF(AI22&lt;0.5, "Complete", "In Progress"))</f>
        <v>#REF!</v>
      </c>
      <c r="AK22" s="22">
        <v>0</v>
      </c>
      <c r="AL22" s="22" t="e">
        <f t="shared" si="50"/>
        <v>#REF!</v>
      </c>
      <c r="AM22" s="23" t="e">
        <f>IF(SUMPRODUCT($J$67:AL$67,$J22:AL22)&lt;0.5, "Pending", IF(AL22&lt;0.5, "Complete", "In Progress"))</f>
        <v>#REF!</v>
      </c>
      <c r="AN22" s="22">
        <v>0</v>
      </c>
      <c r="AO22" s="22" t="e">
        <f t="shared" si="51"/>
        <v>#REF!</v>
      </c>
      <c r="AP22" s="23" t="e">
        <f>IF(SUMPRODUCT($J$67:AO$67,$J22:AO22)&lt;0.5, "Pending", IF(AO22&lt;0.5, "Complete", "In Progress"))</f>
        <v>#REF!</v>
      </c>
      <c r="AQ22" s="22">
        <v>0</v>
      </c>
      <c r="AR22" s="22" t="e">
        <f t="shared" si="52"/>
        <v>#REF!</v>
      </c>
      <c r="AS22" s="23" t="e">
        <f>IF(SUMPRODUCT($J$67:AR$67,$J22:AR22)&lt;0.5, "Pending", IF(AR22&lt;0.5, "Complete", "In Progress"))</f>
        <v>#REF!</v>
      </c>
      <c r="AT22" s="22">
        <v>0</v>
      </c>
      <c r="AU22" s="22" t="e">
        <f t="shared" si="53"/>
        <v>#REF!</v>
      </c>
      <c r="AV22" s="23" t="e">
        <f>IF(SUMPRODUCT($J$67:AU$67,$J22:AU22)&lt;0.5, "Pending", IF(AU22&lt;0.5, "Complete", "In Progress"))</f>
        <v>#REF!</v>
      </c>
      <c r="AW22" s="22">
        <v>0</v>
      </c>
      <c r="AX22" s="22" t="e">
        <f t="shared" si="54"/>
        <v>#REF!</v>
      </c>
      <c r="AY22" s="23" t="e">
        <f>IF(SUMPRODUCT($J$67:AX$67,$J22:AX22)&lt;0.5, "Pending", IF(AX22&lt;0.5, "Complete", "In Progress"))</f>
        <v>#REF!</v>
      </c>
      <c r="AZ22" s="22">
        <v>0</v>
      </c>
      <c r="BA22" s="22" t="e">
        <f t="shared" si="55"/>
        <v>#REF!</v>
      </c>
      <c r="BB22" s="23" t="e">
        <f>IF(SUMPRODUCT($J$67:BA$67,$J22:BA22)&lt;0.5, "Pending", IF(BA22&lt;0.5, "Complete", "In Progress"))</f>
        <v>#REF!</v>
      </c>
      <c r="BC22" s="24"/>
      <c r="BD22" s="25">
        <f>SUMPRODUCT($H$67:X$67,$H22:X22)</f>
        <v>4</v>
      </c>
    </row>
    <row r="23" spans="1:56" x14ac:dyDescent="0.2">
      <c r="A23" s="16"/>
      <c r="B23" s="16"/>
      <c r="C23" s="16"/>
      <c r="D23" s="17"/>
      <c r="E23" s="88" t="s">
        <v>95</v>
      </c>
      <c r="F23" s="18" t="s">
        <v>80</v>
      </c>
      <c r="G23" s="19" t="s">
        <v>74</v>
      </c>
      <c r="H23" s="20">
        <v>1</v>
      </c>
      <c r="I23" s="21">
        <v>4</v>
      </c>
      <c r="J23" s="22">
        <v>0</v>
      </c>
      <c r="K23" s="22">
        <f t="shared" si="42"/>
        <v>4</v>
      </c>
      <c r="L23" s="23" t="str">
        <f>IF(SUMPRODUCT($J$67:K$67,$J23:K23)&lt;0.5, "Pending", IF(K23&lt;0.5, "Complete", "In Progress"))</f>
        <v>Pending</v>
      </c>
      <c r="M23" s="22">
        <v>0</v>
      </c>
      <c r="N23" s="22">
        <f t="shared" si="43"/>
        <v>4</v>
      </c>
      <c r="O23" s="23" t="str">
        <f>IF(SUMPRODUCT($J$67:N$67,$J23:N23)&lt;0.5, "Pending", IF(N23&lt;0.5, "Complete", "In Progress"))</f>
        <v>Pending</v>
      </c>
      <c r="P23" s="22">
        <v>5</v>
      </c>
      <c r="Q23" s="22">
        <f t="shared" si="44"/>
        <v>0</v>
      </c>
      <c r="R23" s="23" t="str">
        <f>IF(SUMPRODUCT($J$67:Q$67,$J23:Q23)&lt;0.5, "Pending", IF(Q23&lt;0.5, "Complete", "In Progress"))</f>
        <v>Complete</v>
      </c>
      <c r="S23" s="22">
        <v>0</v>
      </c>
      <c r="T23" s="22">
        <f t="shared" si="45"/>
        <v>0</v>
      </c>
      <c r="U23" s="23" t="str">
        <f>IF(SUMPRODUCT($J$67:T$67,$J23:T23)&lt;0.5, "Pending", IF(T23&lt;0.5, "Complete", "In Progress"))</f>
        <v>Complete</v>
      </c>
      <c r="V23" s="22">
        <v>0</v>
      </c>
      <c r="W23" s="22">
        <f t="shared" si="46"/>
        <v>0</v>
      </c>
      <c r="X23" s="23" t="str">
        <f>IF(SUMPRODUCT($J$67:W$67,$J23:W23)&lt;0.5, "Pending", IF(W23&lt;0.5, "Complete", "In Progress"))</f>
        <v>Complete</v>
      </c>
      <c r="Y23" s="22">
        <v>0</v>
      </c>
      <c r="Z23" s="22" t="e">
        <f>MAX(#REF!-Y23,0)</f>
        <v>#REF!</v>
      </c>
      <c r="AA23" s="23" t="e">
        <f>IF(SUMPRODUCT($J$67:Z$67,$J23:Z23)&lt;0.5, "Pending", IF(Z23&lt;0.5, "Complete", "In Progress"))</f>
        <v>#REF!</v>
      </c>
      <c r="AB23" s="22">
        <v>0</v>
      </c>
      <c r="AC23" s="22" t="e">
        <f t="shared" si="47"/>
        <v>#REF!</v>
      </c>
      <c r="AD23" s="23" t="e">
        <f>IF(SUMPRODUCT($J$67:AC$67,$J23:AC23)&lt;0.5, "Pending", IF(AC23&lt;0.5, "Complete", "In Progress"))</f>
        <v>#REF!</v>
      </c>
      <c r="AE23" s="22">
        <v>0</v>
      </c>
      <c r="AF23" s="22" t="e">
        <f t="shared" si="48"/>
        <v>#REF!</v>
      </c>
      <c r="AG23" s="23" t="e">
        <f>IF(SUMPRODUCT($J$67:AF$67,$J23:AF23)&lt;0.5, "Pending", IF(AF23&lt;0.5, "Complete", "In Progress"))</f>
        <v>#REF!</v>
      </c>
      <c r="AH23" s="22">
        <v>0</v>
      </c>
      <c r="AI23" s="22" t="e">
        <f t="shared" si="49"/>
        <v>#REF!</v>
      </c>
      <c r="AJ23" s="23" t="e">
        <f>IF(SUMPRODUCT($J$67:AI$67,$J23:AI23)&lt;0.5, "Pending", IF(AI23&lt;0.5, "Complete", "In Progress"))</f>
        <v>#REF!</v>
      </c>
      <c r="AK23" s="22">
        <v>0</v>
      </c>
      <c r="AL23" s="22" t="e">
        <f t="shared" si="50"/>
        <v>#REF!</v>
      </c>
      <c r="AM23" s="23" t="e">
        <f>IF(SUMPRODUCT($J$67:AL$67,$J23:AL23)&lt;0.5, "Pending", IF(AL23&lt;0.5, "Complete", "In Progress"))</f>
        <v>#REF!</v>
      </c>
      <c r="AN23" s="22">
        <v>0</v>
      </c>
      <c r="AO23" s="22" t="e">
        <f t="shared" si="51"/>
        <v>#REF!</v>
      </c>
      <c r="AP23" s="23" t="e">
        <f>IF(SUMPRODUCT($J$67:AO$67,$J23:AO23)&lt;0.5, "Pending", IF(AO23&lt;0.5, "Complete", "In Progress"))</f>
        <v>#REF!</v>
      </c>
      <c r="AQ23" s="22">
        <v>0</v>
      </c>
      <c r="AR23" s="22" t="e">
        <f t="shared" si="52"/>
        <v>#REF!</v>
      </c>
      <c r="AS23" s="23" t="e">
        <f>IF(SUMPRODUCT($J$67:AR$67,$J23:AR23)&lt;0.5, "Pending", IF(AR23&lt;0.5, "Complete", "In Progress"))</f>
        <v>#REF!</v>
      </c>
      <c r="AT23" s="22">
        <v>0</v>
      </c>
      <c r="AU23" s="22" t="e">
        <f t="shared" si="53"/>
        <v>#REF!</v>
      </c>
      <c r="AV23" s="23" t="e">
        <f>IF(SUMPRODUCT($J$67:AU$67,$J23:AU23)&lt;0.5, "Pending", IF(AU23&lt;0.5, "Complete", "In Progress"))</f>
        <v>#REF!</v>
      </c>
      <c r="AW23" s="22">
        <v>0</v>
      </c>
      <c r="AX23" s="22" t="e">
        <f t="shared" si="54"/>
        <v>#REF!</v>
      </c>
      <c r="AY23" s="23" t="e">
        <f>IF(SUMPRODUCT($J$67:AX$67,$J23:AX23)&lt;0.5, "Pending", IF(AX23&lt;0.5, "Complete", "In Progress"))</f>
        <v>#REF!</v>
      </c>
      <c r="AZ23" s="22">
        <v>0</v>
      </c>
      <c r="BA23" s="22" t="e">
        <f t="shared" si="55"/>
        <v>#REF!</v>
      </c>
      <c r="BB23" s="23" t="e">
        <f>IF(SUMPRODUCT($J$67:BA$67,$J23:BA23)&lt;0.5, "Pending", IF(BA23&lt;0.5, "Complete", "In Progress"))</f>
        <v>#REF!</v>
      </c>
      <c r="BC23" s="24"/>
      <c r="BD23" s="94">
        <f>SUMPRODUCT($H$67:X$67,$H23:X23)</f>
        <v>5</v>
      </c>
    </row>
    <row r="24" spans="1:56" x14ac:dyDescent="0.2">
      <c r="A24" s="16"/>
      <c r="B24" s="16"/>
      <c r="C24" s="16"/>
      <c r="D24" s="17"/>
      <c r="E24" s="88" t="s">
        <v>96</v>
      </c>
      <c r="F24" s="18" t="s">
        <v>103</v>
      </c>
      <c r="G24" s="19" t="s">
        <v>74</v>
      </c>
      <c r="H24" s="20">
        <v>1</v>
      </c>
      <c r="I24" s="21">
        <v>4</v>
      </c>
      <c r="J24" s="22">
        <v>0</v>
      </c>
      <c r="K24" s="22">
        <f t="shared" si="42"/>
        <v>4</v>
      </c>
      <c r="L24" s="23" t="str">
        <f>IF(SUMPRODUCT($J$67:K$67,$J24:K24)&lt;0.5, "Pending", IF(K24&lt;0.5, "Complete", "In Progress"))</f>
        <v>Pending</v>
      </c>
      <c r="M24" s="22">
        <v>0</v>
      </c>
      <c r="N24" s="22">
        <f t="shared" si="43"/>
        <v>4</v>
      </c>
      <c r="O24" s="23" t="str">
        <f>IF(SUMPRODUCT($J$67:N$67,$J24:N24)&lt;0.5, "Pending", IF(N24&lt;0.5, "Complete", "In Progress"))</f>
        <v>Pending</v>
      </c>
      <c r="P24" s="22">
        <v>4</v>
      </c>
      <c r="Q24" s="22">
        <f t="shared" si="44"/>
        <v>0</v>
      </c>
      <c r="R24" s="23" t="str">
        <f>IF(SUMPRODUCT($J$67:Q$67,$J24:Q24)&lt;0.5, "Pending", IF(Q24&lt;0.5, "Complete", "In Progress"))</f>
        <v>Complete</v>
      </c>
      <c r="S24" s="22">
        <v>0</v>
      </c>
      <c r="T24" s="22">
        <f t="shared" si="45"/>
        <v>0</v>
      </c>
      <c r="U24" s="23" t="str">
        <f>IF(SUMPRODUCT($J$67:T$67,$J24:T24)&lt;0.5, "Pending", IF(T24&lt;0.5, "Complete", "In Progress"))</f>
        <v>Complete</v>
      </c>
      <c r="V24" s="22">
        <v>0</v>
      </c>
      <c r="W24" s="22">
        <f t="shared" si="46"/>
        <v>0</v>
      </c>
      <c r="X24" s="23" t="str">
        <f>IF(SUMPRODUCT($J$67:W$67,$J24:W24)&lt;0.5, "Pending", IF(W24&lt;0.5, "Complete", "In Progress"))</f>
        <v>Complete</v>
      </c>
      <c r="Y24" s="22">
        <v>0</v>
      </c>
      <c r="Z24" s="22" t="e">
        <f>MAX(#REF!-Y24,0)</f>
        <v>#REF!</v>
      </c>
      <c r="AA24" s="23" t="e">
        <f>IF(SUMPRODUCT($J$67:Z$67,$J24:Z24)&lt;0.5, "Pending", IF(Z24&lt;0.5, "Complete", "In Progress"))</f>
        <v>#REF!</v>
      </c>
      <c r="AB24" s="22">
        <v>0</v>
      </c>
      <c r="AC24" s="22" t="e">
        <f t="shared" si="47"/>
        <v>#REF!</v>
      </c>
      <c r="AD24" s="23" t="e">
        <f>IF(SUMPRODUCT($J$67:AC$67,$J24:AC24)&lt;0.5, "Pending", IF(AC24&lt;0.5, "Complete", "In Progress"))</f>
        <v>#REF!</v>
      </c>
      <c r="AE24" s="22">
        <v>0</v>
      </c>
      <c r="AF24" s="22" t="e">
        <f t="shared" si="48"/>
        <v>#REF!</v>
      </c>
      <c r="AG24" s="23" t="e">
        <f>IF(SUMPRODUCT($J$67:AF$67,$J24:AF24)&lt;0.5, "Pending", IF(AF24&lt;0.5, "Complete", "In Progress"))</f>
        <v>#REF!</v>
      </c>
      <c r="AH24" s="22">
        <v>0</v>
      </c>
      <c r="AI24" s="22" t="e">
        <f t="shared" si="49"/>
        <v>#REF!</v>
      </c>
      <c r="AJ24" s="23" t="e">
        <f>IF(SUMPRODUCT($J$67:AI$67,$J24:AI24)&lt;0.5, "Pending", IF(AI24&lt;0.5, "Complete", "In Progress"))</f>
        <v>#REF!</v>
      </c>
      <c r="AK24" s="22">
        <v>0</v>
      </c>
      <c r="AL24" s="22" t="e">
        <f t="shared" si="50"/>
        <v>#REF!</v>
      </c>
      <c r="AM24" s="23" t="e">
        <f>IF(SUMPRODUCT($J$67:AL$67,$J24:AL24)&lt;0.5, "Pending", IF(AL24&lt;0.5, "Complete", "In Progress"))</f>
        <v>#REF!</v>
      </c>
      <c r="AN24" s="22">
        <v>0</v>
      </c>
      <c r="AO24" s="22" t="e">
        <f t="shared" si="51"/>
        <v>#REF!</v>
      </c>
      <c r="AP24" s="23" t="e">
        <f>IF(SUMPRODUCT($J$67:AO$67,$J24:AO24)&lt;0.5, "Pending", IF(AO24&lt;0.5, "Complete", "In Progress"))</f>
        <v>#REF!</v>
      </c>
      <c r="AQ24" s="22">
        <v>0</v>
      </c>
      <c r="AR24" s="22" t="e">
        <f t="shared" si="52"/>
        <v>#REF!</v>
      </c>
      <c r="AS24" s="23" t="e">
        <f>IF(SUMPRODUCT($J$67:AR$67,$J24:AR24)&lt;0.5, "Pending", IF(AR24&lt;0.5, "Complete", "In Progress"))</f>
        <v>#REF!</v>
      </c>
      <c r="AT24" s="22">
        <v>0</v>
      </c>
      <c r="AU24" s="22" t="e">
        <f t="shared" si="53"/>
        <v>#REF!</v>
      </c>
      <c r="AV24" s="23" t="e">
        <f>IF(SUMPRODUCT($J$67:AU$67,$J24:AU24)&lt;0.5, "Pending", IF(AU24&lt;0.5, "Complete", "In Progress"))</f>
        <v>#REF!</v>
      </c>
      <c r="AW24" s="22">
        <v>0</v>
      </c>
      <c r="AX24" s="22" t="e">
        <f t="shared" si="54"/>
        <v>#REF!</v>
      </c>
      <c r="AY24" s="23" t="e">
        <f>IF(SUMPRODUCT($J$67:AX$67,$J24:AX24)&lt;0.5, "Pending", IF(AX24&lt;0.5, "Complete", "In Progress"))</f>
        <v>#REF!</v>
      </c>
      <c r="AZ24" s="22">
        <v>0</v>
      </c>
      <c r="BA24" s="22" t="e">
        <f t="shared" si="55"/>
        <v>#REF!</v>
      </c>
      <c r="BB24" s="23" t="e">
        <f>IF(SUMPRODUCT($J$67:BA$67,$J24:BA24)&lt;0.5, "Pending", IF(BA24&lt;0.5, "Complete", "In Progress"))</f>
        <v>#REF!</v>
      </c>
      <c r="BC24" s="24"/>
      <c r="BD24" s="25">
        <f>SUMPRODUCT($H$67:X$67,$H24:X24)</f>
        <v>4</v>
      </c>
    </row>
    <row r="25" spans="1:56" x14ac:dyDescent="0.2">
      <c r="A25" s="16"/>
      <c r="B25" s="16"/>
      <c r="C25" s="16"/>
      <c r="D25" s="17"/>
      <c r="E25" s="88"/>
      <c r="F25" s="18" t="s">
        <v>76</v>
      </c>
      <c r="G25" s="19" t="e">
        <f t="shared" ca="1" si="56"/>
        <v>#REF!</v>
      </c>
      <c r="H25" s="20">
        <v>1</v>
      </c>
      <c r="I25" s="21">
        <v>0</v>
      </c>
      <c r="J25" s="22">
        <v>0</v>
      </c>
      <c r="K25" s="22">
        <f t="shared" si="42"/>
        <v>0</v>
      </c>
      <c r="L25" s="23" t="str">
        <f>IF(SUMPRODUCT($J$67:K$67,$J25:K25)&lt;0.5, "Pending", IF(K25&lt;0.5, "Complete", "In Progress"))</f>
        <v>Pending</v>
      </c>
      <c r="M25" s="22">
        <v>0</v>
      </c>
      <c r="N25" s="22">
        <f t="shared" si="43"/>
        <v>0</v>
      </c>
      <c r="O25" s="23" t="str">
        <f>IF(SUMPRODUCT($J$67:N$67,$J25:N25)&lt;0.5, "Pending", IF(N25&lt;0.5, "Complete", "In Progress"))</f>
        <v>Pending</v>
      </c>
      <c r="P25" s="22">
        <v>0</v>
      </c>
      <c r="Q25" s="22">
        <f t="shared" si="44"/>
        <v>0</v>
      </c>
      <c r="R25" s="23" t="str">
        <f>IF(SUMPRODUCT($J$67:Q$67,$J25:Q25)&lt;0.5, "Pending", IF(Q25&lt;0.5, "Complete", "In Progress"))</f>
        <v>Pending</v>
      </c>
      <c r="S25" s="22">
        <v>0</v>
      </c>
      <c r="T25" s="22">
        <f t="shared" si="45"/>
        <v>0</v>
      </c>
      <c r="U25" s="23" t="str">
        <f>IF(SUMPRODUCT($J$67:T$67,$J25:T25)&lt;0.5, "Pending", IF(T25&lt;0.5, "Complete", "In Progress"))</f>
        <v>Pending</v>
      </c>
      <c r="V25" s="22">
        <v>0</v>
      </c>
      <c r="W25" s="22">
        <f t="shared" si="46"/>
        <v>0</v>
      </c>
      <c r="X25" s="23" t="str">
        <f>IF(SUMPRODUCT($J$67:W$67,$J25:W25)&lt;0.5, "Pending", IF(W25&lt;0.5, "Complete", "In Progress"))</f>
        <v>Pending</v>
      </c>
      <c r="Y25" s="22">
        <v>0</v>
      </c>
      <c r="Z25" s="22" t="e">
        <f>MAX(#REF!-Y25,0)</f>
        <v>#REF!</v>
      </c>
      <c r="AA25" s="23" t="e">
        <f>IF(SUMPRODUCT($J$67:Z$67,$J25:Z25)&lt;0.5, "Pending", IF(Z25&lt;0.5, "Complete", "In Progress"))</f>
        <v>#REF!</v>
      </c>
      <c r="AB25" s="22">
        <v>0</v>
      </c>
      <c r="AC25" s="22" t="e">
        <f t="shared" si="47"/>
        <v>#REF!</v>
      </c>
      <c r="AD25" s="23" t="e">
        <f>IF(SUMPRODUCT($J$67:AC$67,$J25:AC25)&lt;0.5, "Pending", IF(AC25&lt;0.5, "Complete", "In Progress"))</f>
        <v>#REF!</v>
      </c>
      <c r="AE25" s="22">
        <v>0</v>
      </c>
      <c r="AF25" s="22" t="e">
        <f t="shared" si="48"/>
        <v>#REF!</v>
      </c>
      <c r="AG25" s="23" t="e">
        <f>IF(SUMPRODUCT($J$67:AF$67,$J25:AF25)&lt;0.5, "Pending", IF(AF25&lt;0.5, "Complete", "In Progress"))</f>
        <v>#REF!</v>
      </c>
      <c r="AH25" s="22">
        <v>0</v>
      </c>
      <c r="AI25" s="22" t="e">
        <f t="shared" si="49"/>
        <v>#REF!</v>
      </c>
      <c r="AJ25" s="23" t="e">
        <f>IF(SUMPRODUCT($J$67:AI$67,$J25:AI25)&lt;0.5, "Pending", IF(AI25&lt;0.5, "Complete", "In Progress"))</f>
        <v>#REF!</v>
      </c>
      <c r="AK25" s="22">
        <v>0</v>
      </c>
      <c r="AL25" s="22" t="e">
        <f t="shared" si="50"/>
        <v>#REF!</v>
      </c>
      <c r="AM25" s="23" t="e">
        <f>IF(SUMPRODUCT($J$67:AL$67,$J25:AL25)&lt;0.5, "Pending", IF(AL25&lt;0.5, "Complete", "In Progress"))</f>
        <v>#REF!</v>
      </c>
      <c r="AN25" s="22">
        <v>0</v>
      </c>
      <c r="AO25" s="22" t="e">
        <f t="shared" si="51"/>
        <v>#REF!</v>
      </c>
      <c r="AP25" s="23" t="e">
        <f>IF(SUMPRODUCT($J$67:AO$67,$J25:AO25)&lt;0.5, "Pending", IF(AO25&lt;0.5, "Complete", "In Progress"))</f>
        <v>#REF!</v>
      </c>
      <c r="AQ25" s="22">
        <v>0</v>
      </c>
      <c r="AR25" s="22" t="e">
        <f t="shared" si="52"/>
        <v>#REF!</v>
      </c>
      <c r="AS25" s="23" t="e">
        <f>IF(SUMPRODUCT($J$67:AR$67,$J25:AR25)&lt;0.5, "Pending", IF(AR25&lt;0.5, "Complete", "In Progress"))</f>
        <v>#REF!</v>
      </c>
      <c r="AT25" s="22">
        <v>0</v>
      </c>
      <c r="AU25" s="22" t="e">
        <f t="shared" si="53"/>
        <v>#REF!</v>
      </c>
      <c r="AV25" s="23" t="e">
        <f>IF(SUMPRODUCT($J$67:AU$67,$J25:AU25)&lt;0.5, "Pending", IF(AU25&lt;0.5, "Complete", "In Progress"))</f>
        <v>#REF!</v>
      </c>
      <c r="AW25" s="22">
        <v>0</v>
      </c>
      <c r="AX25" s="22" t="e">
        <f t="shared" si="54"/>
        <v>#REF!</v>
      </c>
      <c r="AY25" s="23" t="e">
        <f>IF(SUMPRODUCT($J$67:AX$67,$J25:AX25)&lt;0.5, "Pending", IF(AX25&lt;0.5, "Complete", "In Progress"))</f>
        <v>#REF!</v>
      </c>
      <c r="AZ25" s="22">
        <v>0</v>
      </c>
      <c r="BA25" s="22" t="e">
        <f t="shared" si="55"/>
        <v>#REF!</v>
      </c>
      <c r="BB25" s="23" t="e">
        <f>IF(SUMPRODUCT($J$67:BA$67,$J25:BA25)&lt;0.5, "Pending", IF(BA25&lt;0.5, "Complete", "In Progress"))</f>
        <v>#REF!</v>
      </c>
      <c r="BC25" s="24"/>
      <c r="BD25" s="94">
        <f>SUMPRODUCT($H$67:X$67,$H25:X25)</f>
        <v>0</v>
      </c>
    </row>
    <row r="26" spans="1:56" x14ac:dyDescent="0.2">
      <c r="A26" s="16"/>
      <c r="B26" s="16"/>
      <c r="C26" s="16" t="s">
        <v>97</v>
      </c>
      <c r="D26" s="17"/>
      <c r="E26" s="88" t="s">
        <v>91</v>
      </c>
      <c r="F26" s="18" t="s">
        <v>101</v>
      </c>
      <c r="G26" s="19" t="s">
        <v>73</v>
      </c>
      <c r="H26" s="20">
        <v>1</v>
      </c>
      <c r="I26" s="21">
        <v>2</v>
      </c>
      <c r="J26" s="22">
        <v>0</v>
      </c>
      <c r="K26" s="22">
        <f t="shared" si="42"/>
        <v>2</v>
      </c>
      <c r="L26" s="23" t="str">
        <f>IF(SUMPRODUCT($J$67:K$67,$J26:K26)&lt;0.5, "Pending", IF(K26&lt;0.5, "Complete", "In Progress"))</f>
        <v>Pending</v>
      </c>
      <c r="M26" s="22">
        <v>2</v>
      </c>
      <c r="N26" s="22">
        <f t="shared" si="43"/>
        <v>0</v>
      </c>
      <c r="O26" s="23" t="str">
        <f>IF(SUMPRODUCT($J$67:N$67,$J26:N26)&lt;0.5, "Pending", IF(N26&lt;0.5, "Complete", "In Progress"))</f>
        <v>Complete</v>
      </c>
      <c r="P26" s="22">
        <v>0</v>
      </c>
      <c r="Q26" s="22">
        <f t="shared" si="44"/>
        <v>0</v>
      </c>
      <c r="R26" s="23" t="str">
        <f>IF(SUMPRODUCT($J$67:Q$67,$J26:Q26)&lt;0.5, "Pending", IF(Q26&lt;0.5, "Complete", "In Progress"))</f>
        <v>Complete</v>
      </c>
      <c r="S26" s="22">
        <v>0</v>
      </c>
      <c r="T26" s="22">
        <f t="shared" si="45"/>
        <v>0</v>
      </c>
      <c r="U26" s="23" t="str">
        <f>IF(SUMPRODUCT($J$67:T$67,$J26:T26)&lt;0.5, "Pending", IF(T26&lt;0.5, "Complete", "In Progress"))</f>
        <v>Complete</v>
      </c>
      <c r="V26" s="22">
        <v>0</v>
      </c>
      <c r="W26" s="22">
        <f t="shared" si="46"/>
        <v>0</v>
      </c>
      <c r="X26" s="23" t="str">
        <f>IF(SUMPRODUCT($J$67:W$67,$J26:W26)&lt;0.5, "Pending", IF(W26&lt;0.5, "Complete", "In Progress"))</f>
        <v>Complete</v>
      </c>
      <c r="Y26" s="22">
        <v>0</v>
      </c>
      <c r="Z26" s="22" t="e">
        <f>MAX(#REF!-Y26,0)</f>
        <v>#REF!</v>
      </c>
      <c r="AA26" s="23" t="e">
        <f>IF(SUMPRODUCT($J$67:Z$67,$J26:Z26)&lt;0.5, "Pending", IF(Z26&lt;0.5, "Complete", "In Progress"))</f>
        <v>#REF!</v>
      </c>
      <c r="AB26" s="22">
        <v>0</v>
      </c>
      <c r="AC26" s="22" t="e">
        <f t="shared" si="47"/>
        <v>#REF!</v>
      </c>
      <c r="AD26" s="23" t="e">
        <f>IF(SUMPRODUCT($J$67:AC$67,$J26:AC26)&lt;0.5, "Pending", IF(AC26&lt;0.5, "Complete", "In Progress"))</f>
        <v>#REF!</v>
      </c>
      <c r="AE26" s="22">
        <v>0</v>
      </c>
      <c r="AF26" s="22" t="e">
        <f t="shared" si="48"/>
        <v>#REF!</v>
      </c>
      <c r="AG26" s="23" t="e">
        <f>IF(SUMPRODUCT($J$67:AF$67,$J26:AF26)&lt;0.5, "Pending", IF(AF26&lt;0.5, "Complete", "In Progress"))</f>
        <v>#REF!</v>
      </c>
      <c r="AH26" s="22">
        <v>0</v>
      </c>
      <c r="AI26" s="22" t="e">
        <f t="shared" si="49"/>
        <v>#REF!</v>
      </c>
      <c r="AJ26" s="23" t="e">
        <f>IF(SUMPRODUCT($J$67:AI$67,$J26:AI26)&lt;0.5, "Pending", IF(AI26&lt;0.5, "Complete", "In Progress"))</f>
        <v>#REF!</v>
      </c>
      <c r="AK26" s="22">
        <v>0</v>
      </c>
      <c r="AL26" s="22" t="e">
        <f t="shared" si="50"/>
        <v>#REF!</v>
      </c>
      <c r="AM26" s="23" t="e">
        <f>IF(SUMPRODUCT($J$67:AL$67,$J26:AL26)&lt;0.5, "Pending", IF(AL26&lt;0.5, "Complete", "In Progress"))</f>
        <v>#REF!</v>
      </c>
      <c r="AN26" s="22">
        <v>0</v>
      </c>
      <c r="AO26" s="22" t="e">
        <f t="shared" si="51"/>
        <v>#REF!</v>
      </c>
      <c r="AP26" s="23" t="e">
        <f>IF(SUMPRODUCT($J$67:AO$67,$J26:AO26)&lt;0.5, "Pending", IF(AO26&lt;0.5, "Complete", "In Progress"))</f>
        <v>#REF!</v>
      </c>
      <c r="AQ26" s="22">
        <v>0</v>
      </c>
      <c r="AR26" s="22" t="e">
        <f t="shared" si="52"/>
        <v>#REF!</v>
      </c>
      <c r="AS26" s="23" t="e">
        <f>IF(SUMPRODUCT($J$67:AR$67,$J26:AR26)&lt;0.5, "Pending", IF(AR26&lt;0.5, "Complete", "In Progress"))</f>
        <v>#REF!</v>
      </c>
      <c r="AT26" s="22">
        <v>0</v>
      </c>
      <c r="AU26" s="22" t="e">
        <f t="shared" si="53"/>
        <v>#REF!</v>
      </c>
      <c r="AV26" s="23" t="e">
        <f>IF(SUMPRODUCT($J$67:AU$67,$J26:AU26)&lt;0.5, "Pending", IF(AU26&lt;0.5, "Complete", "In Progress"))</f>
        <v>#REF!</v>
      </c>
      <c r="AW26" s="22">
        <v>0</v>
      </c>
      <c r="AX26" s="22" t="e">
        <f t="shared" si="54"/>
        <v>#REF!</v>
      </c>
      <c r="AY26" s="23" t="e">
        <f>IF(SUMPRODUCT($J$67:AX$67,$J26:AX26)&lt;0.5, "Pending", IF(AX26&lt;0.5, "Complete", "In Progress"))</f>
        <v>#REF!</v>
      </c>
      <c r="AZ26" s="22">
        <v>0</v>
      </c>
      <c r="BA26" s="22" t="e">
        <f t="shared" si="55"/>
        <v>#REF!</v>
      </c>
      <c r="BB26" s="23" t="e">
        <f>IF(SUMPRODUCT($J$67:BA$67,$J26:BA26)&lt;0.5, "Pending", IF(BA26&lt;0.5, "Complete", "In Progress"))</f>
        <v>#REF!</v>
      </c>
      <c r="BC26" s="24"/>
      <c r="BD26" s="25">
        <f>SUMPRODUCT($H$67:X$67,$H26:X26)</f>
        <v>2</v>
      </c>
    </row>
    <row r="27" spans="1:56" x14ac:dyDescent="0.2">
      <c r="A27" s="16"/>
      <c r="B27" s="16"/>
      <c r="C27" s="16"/>
      <c r="D27" s="17"/>
      <c r="E27" s="88" t="s">
        <v>92</v>
      </c>
      <c r="F27" s="18" t="s">
        <v>80</v>
      </c>
      <c r="G27" s="19" t="s">
        <v>73</v>
      </c>
      <c r="H27" s="20">
        <v>1</v>
      </c>
      <c r="I27" s="21">
        <v>2</v>
      </c>
      <c r="J27" s="22">
        <v>0</v>
      </c>
      <c r="K27" s="22">
        <f t="shared" si="42"/>
        <v>2</v>
      </c>
      <c r="L27" s="23" t="str">
        <f>IF(SUMPRODUCT($J$67:K$67,$J27:K27)&lt;0.5, "Pending", IF(K27&lt;0.5, "Complete", "In Progress"))</f>
        <v>Pending</v>
      </c>
      <c r="M27" s="22">
        <v>0</v>
      </c>
      <c r="N27" s="22">
        <f t="shared" si="43"/>
        <v>2</v>
      </c>
      <c r="O27" s="23" t="str">
        <f>IF(SUMPRODUCT($J$67:N$67,$J27:N27)&lt;0.5, "Pending", IF(N27&lt;0.5, "Complete", "In Progress"))</f>
        <v>Pending</v>
      </c>
      <c r="P27" s="22">
        <v>2</v>
      </c>
      <c r="Q27" s="22">
        <f t="shared" si="44"/>
        <v>0</v>
      </c>
      <c r="R27" s="23" t="str">
        <f>IF(SUMPRODUCT($J$67:Q$67,$J27:Q27)&lt;0.5, "Pending", IF(Q27&lt;0.5, "Complete", "In Progress"))</f>
        <v>Complete</v>
      </c>
      <c r="S27" s="22">
        <v>0</v>
      </c>
      <c r="T27" s="22">
        <f t="shared" si="45"/>
        <v>0</v>
      </c>
      <c r="U27" s="23" t="str">
        <f>IF(SUMPRODUCT($J$67:T$67,$J27:T27)&lt;0.5, "Pending", IF(T27&lt;0.5, "Complete", "In Progress"))</f>
        <v>Complete</v>
      </c>
      <c r="V27" s="22">
        <v>0</v>
      </c>
      <c r="W27" s="22">
        <f t="shared" si="46"/>
        <v>0</v>
      </c>
      <c r="X27" s="23" t="str">
        <f>IF(SUMPRODUCT($J$67:W$67,$J27:W27)&lt;0.5, "Pending", IF(W27&lt;0.5, "Complete", "In Progress"))</f>
        <v>Complete</v>
      </c>
      <c r="Y27" s="22">
        <v>0</v>
      </c>
      <c r="Z27" s="22" t="e">
        <f>MAX(#REF!-Y27,0)</f>
        <v>#REF!</v>
      </c>
      <c r="AA27" s="23" t="e">
        <f>IF(SUMPRODUCT($J$67:Z$67,$J27:Z27)&lt;0.5, "Pending", IF(Z27&lt;0.5, "Complete", "In Progress"))</f>
        <v>#REF!</v>
      </c>
      <c r="AB27" s="22">
        <v>0</v>
      </c>
      <c r="AC27" s="22" t="e">
        <f t="shared" si="47"/>
        <v>#REF!</v>
      </c>
      <c r="AD27" s="23" t="e">
        <f>IF(SUMPRODUCT($J$67:AC$67,$J27:AC27)&lt;0.5, "Pending", IF(AC27&lt;0.5, "Complete", "In Progress"))</f>
        <v>#REF!</v>
      </c>
      <c r="AE27" s="22">
        <v>0</v>
      </c>
      <c r="AF27" s="22" t="e">
        <f t="shared" si="48"/>
        <v>#REF!</v>
      </c>
      <c r="AG27" s="23" t="e">
        <f>IF(SUMPRODUCT($J$67:AF$67,$J27:AF27)&lt;0.5, "Pending", IF(AF27&lt;0.5, "Complete", "In Progress"))</f>
        <v>#REF!</v>
      </c>
      <c r="AH27" s="22">
        <v>0</v>
      </c>
      <c r="AI27" s="22" t="e">
        <f t="shared" si="49"/>
        <v>#REF!</v>
      </c>
      <c r="AJ27" s="23" t="e">
        <f>IF(SUMPRODUCT($J$67:AI$67,$J27:AI27)&lt;0.5, "Pending", IF(AI27&lt;0.5, "Complete", "In Progress"))</f>
        <v>#REF!</v>
      </c>
      <c r="AK27" s="22">
        <v>0</v>
      </c>
      <c r="AL27" s="22" t="e">
        <f t="shared" si="50"/>
        <v>#REF!</v>
      </c>
      <c r="AM27" s="23" t="e">
        <f>IF(SUMPRODUCT($J$67:AL$67,$J27:AL27)&lt;0.5, "Pending", IF(AL27&lt;0.5, "Complete", "In Progress"))</f>
        <v>#REF!</v>
      </c>
      <c r="AN27" s="22">
        <v>0</v>
      </c>
      <c r="AO27" s="22" t="e">
        <f t="shared" si="51"/>
        <v>#REF!</v>
      </c>
      <c r="AP27" s="23" t="e">
        <f>IF(SUMPRODUCT($J$67:AO$67,$J27:AO27)&lt;0.5, "Pending", IF(AO27&lt;0.5, "Complete", "In Progress"))</f>
        <v>#REF!</v>
      </c>
      <c r="AQ27" s="22">
        <v>0</v>
      </c>
      <c r="AR27" s="22" t="e">
        <f t="shared" si="52"/>
        <v>#REF!</v>
      </c>
      <c r="AS27" s="23" t="e">
        <f>IF(SUMPRODUCT($J$67:AR$67,$J27:AR27)&lt;0.5, "Pending", IF(AR27&lt;0.5, "Complete", "In Progress"))</f>
        <v>#REF!</v>
      </c>
      <c r="AT27" s="22">
        <v>0</v>
      </c>
      <c r="AU27" s="22" t="e">
        <f t="shared" si="53"/>
        <v>#REF!</v>
      </c>
      <c r="AV27" s="23" t="e">
        <f>IF(SUMPRODUCT($J$67:AU$67,$J27:AU27)&lt;0.5, "Pending", IF(AU27&lt;0.5, "Complete", "In Progress"))</f>
        <v>#REF!</v>
      </c>
      <c r="AW27" s="22">
        <v>0</v>
      </c>
      <c r="AX27" s="22" t="e">
        <f t="shared" si="54"/>
        <v>#REF!</v>
      </c>
      <c r="AY27" s="23" t="e">
        <f>IF(SUMPRODUCT($J$67:AX$67,$J27:AX27)&lt;0.5, "Pending", IF(AX27&lt;0.5, "Complete", "In Progress"))</f>
        <v>#REF!</v>
      </c>
      <c r="AZ27" s="22">
        <v>0</v>
      </c>
      <c r="BA27" s="22" t="e">
        <f t="shared" si="55"/>
        <v>#REF!</v>
      </c>
      <c r="BB27" s="23" t="e">
        <f>IF(SUMPRODUCT($J$67:BA$67,$J27:BA27)&lt;0.5, "Pending", IF(BA27&lt;0.5, "Complete", "In Progress"))</f>
        <v>#REF!</v>
      </c>
      <c r="BC27" s="24"/>
      <c r="BD27" s="94">
        <f>SUMPRODUCT($H$67:X$67,$H27:X27)</f>
        <v>2</v>
      </c>
    </row>
    <row r="28" spans="1:56" x14ac:dyDescent="0.2">
      <c r="A28" s="16"/>
      <c r="B28" s="16"/>
      <c r="C28" s="16"/>
      <c r="D28" s="17"/>
      <c r="E28" s="88" t="s">
        <v>96</v>
      </c>
      <c r="F28" s="18" t="s">
        <v>79</v>
      </c>
      <c r="G28" s="19" t="s">
        <v>73</v>
      </c>
      <c r="H28" s="20">
        <v>1</v>
      </c>
      <c r="I28" s="21">
        <v>5</v>
      </c>
      <c r="J28" s="22">
        <v>0</v>
      </c>
      <c r="K28" s="22">
        <f t="shared" si="42"/>
        <v>5</v>
      </c>
      <c r="L28" s="23" t="str">
        <f>IF(SUMPRODUCT($J$67:K$67,$J28:K28)&lt;0.5, "Pending", IF(K28&lt;0.5, "Complete", "In Progress"))</f>
        <v>Pending</v>
      </c>
      <c r="M28" s="22">
        <v>0</v>
      </c>
      <c r="N28" s="22">
        <f t="shared" si="43"/>
        <v>5</v>
      </c>
      <c r="O28" s="23" t="str">
        <f>IF(SUMPRODUCT($J$67:N$67,$J28:N28)&lt;0.5, "Pending", IF(N28&lt;0.5, "Complete", "In Progress"))</f>
        <v>Pending</v>
      </c>
      <c r="P28" s="22">
        <v>0</v>
      </c>
      <c r="Q28" s="22">
        <f t="shared" si="44"/>
        <v>5</v>
      </c>
      <c r="R28" s="23" t="str">
        <f>IF(SUMPRODUCT($J$67:Q$67,$J28:Q28)&lt;0.5, "Pending", IF(Q28&lt;0.5, "Complete", "In Progress"))</f>
        <v>Pending</v>
      </c>
      <c r="S28" s="22">
        <v>0</v>
      </c>
      <c r="T28" s="22">
        <f t="shared" si="45"/>
        <v>5</v>
      </c>
      <c r="U28" s="23" t="str">
        <f>IF(SUMPRODUCT($J$67:T$67,$J28:T28)&lt;0.5, "Pending", IF(T28&lt;0.5, "Complete", "In Progress"))</f>
        <v>Pending</v>
      </c>
      <c r="V28" s="22">
        <v>0</v>
      </c>
      <c r="W28" s="22">
        <f t="shared" si="46"/>
        <v>5</v>
      </c>
      <c r="X28" s="23" t="str">
        <f>IF(SUMPRODUCT($J$67:W$67,$J28:W28)&lt;0.5, "Pending", IF(W28&lt;0.5, "Complete", "In Progress"))</f>
        <v>Pending</v>
      </c>
      <c r="Y28" s="22">
        <v>0</v>
      </c>
      <c r="Z28" s="22" t="e">
        <f>MAX(#REF!-Y28,0)</f>
        <v>#REF!</v>
      </c>
      <c r="AA28" s="23" t="e">
        <f>IF(SUMPRODUCT($J$67:Z$67,$J28:Z28)&lt;0.5, "Pending", IF(Z28&lt;0.5, "Complete", "In Progress"))</f>
        <v>#REF!</v>
      </c>
      <c r="AB28" s="22">
        <v>0</v>
      </c>
      <c r="AC28" s="22" t="e">
        <f t="shared" si="47"/>
        <v>#REF!</v>
      </c>
      <c r="AD28" s="23" t="e">
        <f>IF(SUMPRODUCT($J$67:AC$67,$J28:AC28)&lt;0.5, "Pending", IF(AC28&lt;0.5, "Complete", "In Progress"))</f>
        <v>#REF!</v>
      </c>
      <c r="AE28" s="22">
        <v>0</v>
      </c>
      <c r="AF28" s="22" t="e">
        <f t="shared" si="48"/>
        <v>#REF!</v>
      </c>
      <c r="AG28" s="23" t="e">
        <f>IF(SUMPRODUCT($J$67:AF$67,$J28:AF28)&lt;0.5, "Pending", IF(AF28&lt;0.5, "Complete", "In Progress"))</f>
        <v>#REF!</v>
      </c>
      <c r="AH28" s="22">
        <v>0</v>
      </c>
      <c r="AI28" s="22" t="e">
        <f t="shared" si="49"/>
        <v>#REF!</v>
      </c>
      <c r="AJ28" s="23" t="e">
        <f>IF(SUMPRODUCT($J$67:AI$67,$J28:AI28)&lt;0.5, "Pending", IF(AI28&lt;0.5, "Complete", "In Progress"))</f>
        <v>#REF!</v>
      </c>
      <c r="AK28" s="22">
        <v>0</v>
      </c>
      <c r="AL28" s="22" t="e">
        <f t="shared" si="50"/>
        <v>#REF!</v>
      </c>
      <c r="AM28" s="23" t="e">
        <f>IF(SUMPRODUCT($J$67:AL$67,$J28:AL28)&lt;0.5, "Pending", IF(AL28&lt;0.5, "Complete", "In Progress"))</f>
        <v>#REF!</v>
      </c>
      <c r="AN28" s="22">
        <v>0</v>
      </c>
      <c r="AO28" s="22" t="e">
        <f t="shared" si="51"/>
        <v>#REF!</v>
      </c>
      <c r="AP28" s="23" t="e">
        <f>IF(SUMPRODUCT($J$67:AO$67,$J28:AO28)&lt;0.5, "Pending", IF(AO28&lt;0.5, "Complete", "In Progress"))</f>
        <v>#REF!</v>
      </c>
      <c r="AQ28" s="22">
        <v>0</v>
      </c>
      <c r="AR28" s="22" t="e">
        <f t="shared" si="52"/>
        <v>#REF!</v>
      </c>
      <c r="AS28" s="23" t="e">
        <f>IF(SUMPRODUCT($J$67:AR$67,$J28:AR28)&lt;0.5, "Pending", IF(AR28&lt;0.5, "Complete", "In Progress"))</f>
        <v>#REF!</v>
      </c>
      <c r="AT28" s="22">
        <v>0</v>
      </c>
      <c r="AU28" s="22" t="e">
        <f t="shared" si="53"/>
        <v>#REF!</v>
      </c>
      <c r="AV28" s="23" t="e">
        <f>IF(SUMPRODUCT($J$67:AU$67,$J28:AU28)&lt;0.5, "Pending", IF(AU28&lt;0.5, "Complete", "In Progress"))</f>
        <v>#REF!</v>
      </c>
      <c r="AW28" s="22">
        <v>0</v>
      </c>
      <c r="AX28" s="22" t="e">
        <f t="shared" si="54"/>
        <v>#REF!</v>
      </c>
      <c r="AY28" s="23" t="e">
        <f>IF(SUMPRODUCT($J$67:AX$67,$J28:AX28)&lt;0.5, "Pending", IF(AX28&lt;0.5, "Complete", "In Progress"))</f>
        <v>#REF!</v>
      </c>
      <c r="AZ28" s="22">
        <v>0</v>
      </c>
      <c r="BA28" s="22" t="e">
        <f t="shared" si="55"/>
        <v>#REF!</v>
      </c>
      <c r="BB28" s="23" t="e">
        <f>IF(SUMPRODUCT($J$67:BA$67,$J28:BA28)&lt;0.5, "Pending", IF(BA28&lt;0.5, "Complete", "In Progress"))</f>
        <v>#REF!</v>
      </c>
      <c r="BC28" s="24"/>
      <c r="BD28" s="25">
        <f>SUMPRODUCT($H$67:X$67,$H28:X28)</f>
        <v>0</v>
      </c>
    </row>
    <row r="29" spans="1:56" x14ac:dyDescent="0.2">
      <c r="A29" s="16"/>
      <c r="B29" s="16"/>
      <c r="C29" s="16"/>
      <c r="D29" s="17"/>
      <c r="E29" s="88"/>
      <c r="F29" s="18" t="s">
        <v>76</v>
      </c>
      <c r="G29" s="19" t="e">
        <f t="shared" ca="1" si="56"/>
        <v>#REF!</v>
      </c>
      <c r="H29" s="20">
        <v>1</v>
      </c>
      <c r="I29" s="21">
        <v>0</v>
      </c>
      <c r="J29" s="22">
        <v>0</v>
      </c>
      <c r="K29" s="22">
        <f t="shared" si="42"/>
        <v>0</v>
      </c>
      <c r="L29" s="23" t="str">
        <f>IF(SUMPRODUCT($J$67:K$67,$J29:K29)&lt;0.5, "Pending", IF(K29&lt;0.5, "Complete", "In Progress"))</f>
        <v>Pending</v>
      </c>
      <c r="M29" s="22">
        <v>0</v>
      </c>
      <c r="N29" s="22">
        <f t="shared" si="43"/>
        <v>0</v>
      </c>
      <c r="O29" s="23" t="str">
        <f>IF(SUMPRODUCT($J$67:N$67,$J29:N29)&lt;0.5, "Pending", IF(N29&lt;0.5, "Complete", "In Progress"))</f>
        <v>Pending</v>
      </c>
      <c r="P29" s="22">
        <v>0</v>
      </c>
      <c r="Q29" s="22">
        <f t="shared" si="44"/>
        <v>0</v>
      </c>
      <c r="R29" s="23" t="str">
        <f>IF(SUMPRODUCT($J$67:Q$67,$J29:Q29)&lt;0.5, "Pending", IF(Q29&lt;0.5, "Complete", "In Progress"))</f>
        <v>Pending</v>
      </c>
      <c r="S29" s="22">
        <v>0</v>
      </c>
      <c r="T29" s="22">
        <f t="shared" si="45"/>
        <v>0</v>
      </c>
      <c r="U29" s="23" t="str">
        <f>IF(SUMPRODUCT($J$67:T$67,$J29:T29)&lt;0.5, "Pending", IF(T29&lt;0.5, "Complete", "In Progress"))</f>
        <v>Pending</v>
      </c>
      <c r="V29" s="22">
        <v>0</v>
      </c>
      <c r="W29" s="22">
        <f t="shared" si="46"/>
        <v>0</v>
      </c>
      <c r="X29" s="23" t="str">
        <f>IF(SUMPRODUCT($J$67:W$67,$J29:W29)&lt;0.5, "Pending", IF(W29&lt;0.5, "Complete", "In Progress"))</f>
        <v>Pending</v>
      </c>
      <c r="Y29" s="22">
        <v>0</v>
      </c>
      <c r="Z29" s="22" t="e">
        <f>MAX(#REF!-Y29,0)</f>
        <v>#REF!</v>
      </c>
      <c r="AA29" s="23" t="e">
        <f>IF(SUMPRODUCT($J$67:Z$67,$J29:Z29)&lt;0.5, "Pending", IF(Z29&lt;0.5, "Complete", "In Progress"))</f>
        <v>#REF!</v>
      </c>
      <c r="AB29" s="22">
        <v>0</v>
      </c>
      <c r="AC29" s="22" t="e">
        <f t="shared" si="47"/>
        <v>#REF!</v>
      </c>
      <c r="AD29" s="23" t="e">
        <f>IF(SUMPRODUCT($J$67:AC$67,$J29:AC29)&lt;0.5, "Pending", IF(AC29&lt;0.5, "Complete", "In Progress"))</f>
        <v>#REF!</v>
      </c>
      <c r="AE29" s="22">
        <v>0</v>
      </c>
      <c r="AF29" s="22" t="e">
        <f t="shared" si="48"/>
        <v>#REF!</v>
      </c>
      <c r="AG29" s="23" t="e">
        <f>IF(SUMPRODUCT($J$67:AF$67,$J29:AF29)&lt;0.5, "Pending", IF(AF29&lt;0.5, "Complete", "In Progress"))</f>
        <v>#REF!</v>
      </c>
      <c r="AH29" s="22">
        <v>0</v>
      </c>
      <c r="AI29" s="22" t="e">
        <f t="shared" si="49"/>
        <v>#REF!</v>
      </c>
      <c r="AJ29" s="23" t="e">
        <f>IF(SUMPRODUCT($J$67:AI$67,$J29:AI29)&lt;0.5, "Pending", IF(AI29&lt;0.5, "Complete", "In Progress"))</f>
        <v>#REF!</v>
      </c>
      <c r="AK29" s="22">
        <v>0</v>
      </c>
      <c r="AL29" s="22" t="e">
        <f t="shared" si="50"/>
        <v>#REF!</v>
      </c>
      <c r="AM29" s="23" t="e">
        <f>IF(SUMPRODUCT($J$67:AL$67,$J29:AL29)&lt;0.5, "Pending", IF(AL29&lt;0.5, "Complete", "In Progress"))</f>
        <v>#REF!</v>
      </c>
      <c r="AN29" s="22">
        <v>0</v>
      </c>
      <c r="AO29" s="22" t="e">
        <f t="shared" si="51"/>
        <v>#REF!</v>
      </c>
      <c r="AP29" s="23" t="e">
        <f>IF(SUMPRODUCT($J$67:AO$67,$J29:AO29)&lt;0.5, "Pending", IF(AO29&lt;0.5, "Complete", "In Progress"))</f>
        <v>#REF!</v>
      </c>
      <c r="AQ29" s="22">
        <v>0</v>
      </c>
      <c r="AR29" s="22" t="e">
        <f t="shared" si="52"/>
        <v>#REF!</v>
      </c>
      <c r="AS29" s="23" t="e">
        <f>IF(SUMPRODUCT($J$67:AR$67,$J29:AR29)&lt;0.5, "Pending", IF(AR29&lt;0.5, "Complete", "In Progress"))</f>
        <v>#REF!</v>
      </c>
      <c r="AT29" s="22">
        <v>0</v>
      </c>
      <c r="AU29" s="22" t="e">
        <f t="shared" si="53"/>
        <v>#REF!</v>
      </c>
      <c r="AV29" s="23" t="e">
        <f>IF(SUMPRODUCT($J$67:AU$67,$J29:AU29)&lt;0.5, "Pending", IF(AU29&lt;0.5, "Complete", "In Progress"))</f>
        <v>#REF!</v>
      </c>
      <c r="AW29" s="22">
        <v>0</v>
      </c>
      <c r="AX29" s="22" t="e">
        <f t="shared" si="54"/>
        <v>#REF!</v>
      </c>
      <c r="AY29" s="23" t="e">
        <f>IF(SUMPRODUCT($J$67:AX$67,$J29:AX29)&lt;0.5, "Pending", IF(AX29&lt;0.5, "Complete", "In Progress"))</f>
        <v>#REF!</v>
      </c>
      <c r="AZ29" s="22">
        <v>0</v>
      </c>
      <c r="BA29" s="22" t="e">
        <f t="shared" si="55"/>
        <v>#REF!</v>
      </c>
      <c r="BB29" s="23" t="e">
        <f>IF(SUMPRODUCT($J$67:BA$67,$J29:BA29)&lt;0.5, "Pending", IF(BA29&lt;0.5, "Complete", "In Progress"))</f>
        <v>#REF!</v>
      </c>
      <c r="BC29" s="24"/>
      <c r="BD29" s="25">
        <f>SUMPRODUCT($H$67:X$67,$H29:X29)</f>
        <v>0</v>
      </c>
    </row>
    <row r="30" spans="1:56" x14ac:dyDescent="0.2">
      <c r="A30" s="16"/>
      <c r="B30" s="16"/>
      <c r="C30" s="16" t="s">
        <v>105</v>
      </c>
      <c r="D30" s="17"/>
      <c r="E30" s="88" t="s">
        <v>106</v>
      </c>
      <c r="F30" s="18" t="s">
        <v>108</v>
      </c>
      <c r="G30" s="19" t="s">
        <v>73</v>
      </c>
      <c r="H30" s="20">
        <v>1</v>
      </c>
      <c r="I30" s="21">
        <v>5</v>
      </c>
      <c r="J30" s="22">
        <v>0</v>
      </c>
      <c r="K30" s="22">
        <f t="shared" si="42"/>
        <v>5</v>
      </c>
      <c r="L30" s="23" t="str">
        <f>IF(SUMPRODUCT($J$67:K$67,$J30:K30)&lt;0.5, "Pending", IF(K30&lt;0.5, "Complete", "In Progress"))</f>
        <v>Pending</v>
      </c>
      <c r="M30" s="22">
        <v>0</v>
      </c>
      <c r="N30" s="22">
        <f t="shared" si="43"/>
        <v>5</v>
      </c>
      <c r="O30" s="23" t="str">
        <f>IF(SUMPRODUCT($J$67:N$67,$J30:N30)&lt;0.5, "Pending", IF(N30&lt;0.5, "Complete", "In Progress"))</f>
        <v>Pending</v>
      </c>
      <c r="P30" s="22">
        <v>5</v>
      </c>
      <c r="Q30" s="22">
        <f t="shared" si="44"/>
        <v>0</v>
      </c>
      <c r="R30" s="23" t="str">
        <f>IF(SUMPRODUCT($J$67:Q$67,$J30:Q30)&lt;0.5, "Pending", IF(Q30&lt;0.5, "Complete", "In Progress"))</f>
        <v>Complete</v>
      </c>
      <c r="S30" s="22">
        <v>0</v>
      </c>
      <c r="T30" s="22">
        <f t="shared" si="45"/>
        <v>0</v>
      </c>
      <c r="U30" s="23" t="str">
        <f>IF(SUMPRODUCT($J$67:T$67,$J30:T30)&lt;0.5, "Pending", IF(T30&lt;0.5, "Complete", "In Progress"))</f>
        <v>Complete</v>
      </c>
      <c r="V30" s="22">
        <v>0</v>
      </c>
      <c r="W30" s="22">
        <f t="shared" si="46"/>
        <v>0</v>
      </c>
      <c r="X30" s="23" t="str">
        <f>IF(SUMPRODUCT($J$67:W$67,$J30:W30)&lt;0.5, "Pending", IF(W30&lt;0.5, "Complete", "In Progress"))</f>
        <v>Complete</v>
      </c>
      <c r="Y30" s="22">
        <v>0</v>
      </c>
      <c r="Z30" s="22" t="e">
        <f>MAX(#REF!-Y30,0)</f>
        <v>#REF!</v>
      </c>
      <c r="AA30" s="23" t="e">
        <f>IF(SUMPRODUCT($J$67:Z$67,$J30:Z30)&lt;0.5, "Pending", IF(Z30&lt;0.5, "Complete", "In Progress"))</f>
        <v>#REF!</v>
      </c>
      <c r="AB30" s="22">
        <v>0</v>
      </c>
      <c r="AC30" s="22" t="e">
        <f t="shared" si="47"/>
        <v>#REF!</v>
      </c>
      <c r="AD30" s="23" t="e">
        <f>IF(SUMPRODUCT($J$67:AC$67,$J30:AC30)&lt;0.5, "Pending", IF(AC30&lt;0.5, "Complete", "In Progress"))</f>
        <v>#REF!</v>
      </c>
      <c r="AE30" s="22">
        <v>0</v>
      </c>
      <c r="AF30" s="22" t="e">
        <f t="shared" si="48"/>
        <v>#REF!</v>
      </c>
      <c r="AG30" s="23" t="e">
        <f>IF(SUMPRODUCT($J$67:AF$67,$J30:AF30)&lt;0.5, "Pending", IF(AF30&lt;0.5, "Complete", "In Progress"))</f>
        <v>#REF!</v>
      </c>
      <c r="AH30" s="22">
        <v>0</v>
      </c>
      <c r="AI30" s="22" t="e">
        <f t="shared" si="49"/>
        <v>#REF!</v>
      </c>
      <c r="AJ30" s="23" t="e">
        <f>IF(SUMPRODUCT($J$67:AI$67,$J30:AI30)&lt;0.5, "Pending", IF(AI30&lt;0.5, "Complete", "In Progress"))</f>
        <v>#REF!</v>
      </c>
      <c r="AK30" s="22">
        <v>0</v>
      </c>
      <c r="AL30" s="22" t="e">
        <f t="shared" si="50"/>
        <v>#REF!</v>
      </c>
      <c r="AM30" s="23" t="e">
        <f>IF(SUMPRODUCT($J$67:AL$67,$J30:AL30)&lt;0.5, "Pending", IF(AL30&lt;0.5, "Complete", "In Progress"))</f>
        <v>#REF!</v>
      </c>
      <c r="AN30" s="22">
        <v>0</v>
      </c>
      <c r="AO30" s="22" t="e">
        <f t="shared" si="51"/>
        <v>#REF!</v>
      </c>
      <c r="AP30" s="23" t="e">
        <f>IF(SUMPRODUCT($J$67:AO$67,$J30:AO30)&lt;0.5, "Pending", IF(AO30&lt;0.5, "Complete", "In Progress"))</f>
        <v>#REF!</v>
      </c>
      <c r="AQ30" s="22">
        <v>0</v>
      </c>
      <c r="AR30" s="22" t="e">
        <f t="shared" si="52"/>
        <v>#REF!</v>
      </c>
      <c r="AS30" s="23" t="e">
        <f>IF(SUMPRODUCT($J$67:AR$67,$J30:AR30)&lt;0.5, "Pending", IF(AR30&lt;0.5, "Complete", "In Progress"))</f>
        <v>#REF!</v>
      </c>
      <c r="AT30" s="22">
        <v>0</v>
      </c>
      <c r="AU30" s="22" t="e">
        <f t="shared" si="53"/>
        <v>#REF!</v>
      </c>
      <c r="AV30" s="23" t="e">
        <f>IF(SUMPRODUCT($J$67:AU$67,$J30:AU30)&lt;0.5, "Pending", IF(AU30&lt;0.5, "Complete", "In Progress"))</f>
        <v>#REF!</v>
      </c>
      <c r="AW30" s="22">
        <v>0</v>
      </c>
      <c r="AX30" s="22" t="e">
        <f t="shared" si="54"/>
        <v>#REF!</v>
      </c>
      <c r="AY30" s="23" t="e">
        <f>IF(SUMPRODUCT($J$67:AX$67,$J30:AX30)&lt;0.5, "Pending", IF(AX30&lt;0.5, "Complete", "In Progress"))</f>
        <v>#REF!</v>
      </c>
      <c r="AZ30" s="22">
        <v>0</v>
      </c>
      <c r="BA30" s="22" t="e">
        <f t="shared" si="55"/>
        <v>#REF!</v>
      </c>
      <c r="BB30" s="23" t="e">
        <f>IF(SUMPRODUCT($J$67:BA$67,$J30:BA30)&lt;0.5, "Pending", IF(BA30&lt;0.5, "Complete", "In Progress"))</f>
        <v>#REF!</v>
      </c>
      <c r="BC30" s="24"/>
      <c r="BD30" s="25">
        <f>SUMPRODUCT($H$67:X$67,$H30:X30)</f>
        <v>5</v>
      </c>
    </row>
    <row r="31" spans="1:56" x14ac:dyDescent="0.2">
      <c r="A31" s="16"/>
      <c r="B31" s="16"/>
      <c r="C31" s="16"/>
      <c r="D31" s="17"/>
      <c r="E31" s="88" t="s">
        <v>107</v>
      </c>
      <c r="F31" s="18" t="s">
        <v>108</v>
      </c>
      <c r="G31" s="19" t="s">
        <v>73</v>
      </c>
      <c r="H31" s="20">
        <v>1</v>
      </c>
      <c r="I31" s="21">
        <v>5</v>
      </c>
      <c r="J31" s="22">
        <v>0</v>
      </c>
      <c r="K31" s="22">
        <f t="shared" si="42"/>
        <v>5</v>
      </c>
      <c r="L31" s="23" t="str">
        <f>IF(SUMPRODUCT($J$67:K$67,$J31:K31)&lt;0.5, "Pending", IF(K31&lt;0.5, "Complete", "In Progress"))</f>
        <v>Pending</v>
      </c>
      <c r="M31" s="22">
        <v>0</v>
      </c>
      <c r="N31" s="22">
        <f t="shared" si="43"/>
        <v>5</v>
      </c>
      <c r="O31" s="23" t="str">
        <f>IF(SUMPRODUCT($J$67:N$67,$J31:N31)&lt;0.5, "Pending", IF(N31&lt;0.5, "Complete", "In Progress"))</f>
        <v>Pending</v>
      </c>
      <c r="P31" s="22">
        <v>0</v>
      </c>
      <c r="Q31" s="22">
        <f t="shared" si="44"/>
        <v>5</v>
      </c>
      <c r="R31" s="23" t="str">
        <f>IF(SUMPRODUCT($J$67:Q$67,$J31:Q31)&lt;0.5, "Pending", IF(Q31&lt;0.5, "Complete", "In Progress"))</f>
        <v>Pending</v>
      </c>
      <c r="S31" s="22">
        <v>5</v>
      </c>
      <c r="T31" s="22">
        <f t="shared" si="45"/>
        <v>0</v>
      </c>
      <c r="U31" s="23" t="str">
        <f>IF(SUMPRODUCT($J$67:T$67,$J31:T31)&lt;0.5, "Pending", IF(T31&lt;0.5, "Complete", "In Progress"))</f>
        <v>Complete</v>
      </c>
      <c r="V31" s="22">
        <v>0</v>
      </c>
      <c r="W31" s="22">
        <f t="shared" si="46"/>
        <v>0</v>
      </c>
      <c r="X31" s="23" t="str">
        <f>IF(SUMPRODUCT($J$67:W$67,$J31:W31)&lt;0.5, "Pending", IF(W31&lt;0.5, "Complete", "In Progress"))</f>
        <v>Complete</v>
      </c>
      <c r="Y31" s="22">
        <v>0</v>
      </c>
      <c r="Z31" s="22" t="e">
        <f>MAX(#REF!-Y31,0)</f>
        <v>#REF!</v>
      </c>
      <c r="AA31" s="23" t="e">
        <f>IF(SUMPRODUCT($J$67:Z$67,$J31:Z31)&lt;0.5, "Pending", IF(Z31&lt;0.5, "Complete", "In Progress"))</f>
        <v>#REF!</v>
      </c>
      <c r="AB31" s="22">
        <v>0</v>
      </c>
      <c r="AC31" s="22" t="e">
        <f t="shared" si="47"/>
        <v>#REF!</v>
      </c>
      <c r="AD31" s="23" t="e">
        <f>IF(SUMPRODUCT($J$67:AC$67,$J31:AC31)&lt;0.5, "Pending", IF(AC31&lt;0.5, "Complete", "In Progress"))</f>
        <v>#REF!</v>
      </c>
      <c r="AE31" s="22">
        <v>0</v>
      </c>
      <c r="AF31" s="22" t="e">
        <f t="shared" si="48"/>
        <v>#REF!</v>
      </c>
      <c r="AG31" s="23" t="e">
        <f>IF(SUMPRODUCT($J$67:AF$67,$J31:AF31)&lt;0.5, "Pending", IF(AF31&lt;0.5, "Complete", "In Progress"))</f>
        <v>#REF!</v>
      </c>
      <c r="AH31" s="22">
        <v>0</v>
      </c>
      <c r="AI31" s="22" t="e">
        <f t="shared" si="49"/>
        <v>#REF!</v>
      </c>
      <c r="AJ31" s="23" t="e">
        <f>IF(SUMPRODUCT($J$67:AI$67,$J31:AI31)&lt;0.5, "Pending", IF(AI31&lt;0.5, "Complete", "In Progress"))</f>
        <v>#REF!</v>
      </c>
      <c r="AK31" s="22">
        <v>0</v>
      </c>
      <c r="AL31" s="22" t="e">
        <f t="shared" si="50"/>
        <v>#REF!</v>
      </c>
      <c r="AM31" s="23" t="e">
        <f>IF(SUMPRODUCT($J$67:AL$67,$J31:AL31)&lt;0.5, "Pending", IF(AL31&lt;0.5, "Complete", "In Progress"))</f>
        <v>#REF!</v>
      </c>
      <c r="AN31" s="22">
        <v>0</v>
      </c>
      <c r="AO31" s="22" t="e">
        <f t="shared" si="51"/>
        <v>#REF!</v>
      </c>
      <c r="AP31" s="23" t="e">
        <f>IF(SUMPRODUCT($J$67:AO$67,$J31:AO31)&lt;0.5, "Pending", IF(AO31&lt;0.5, "Complete", "In Progress"))</f>
        <v>#REF!</v>
      </c>
      <c r="AQ31" s="22">
        <v>0</v>
      </c>
      <c r="AR31" s="22" t="e">
        <f t="shared" si="52"/>
        <v>#REF!</v>
      </c>
      <c r="AS31" s="23" t="e">
        <f>IF(SUMPRODUCT($J$67:AR$67,$J31:AR31)&lt;0.5, "Pending", IF(AR31&lt;0.5, "Complete", "In Progress"))</f>
        <v>#REF!</v>
      </c>
      <c r="AT31" s="22">
        <v>0</v>
      </c>
      <c r="AU31" s="22" t="e">
        <f t="shared" si="53"/>
        <v>#REF!</v>
      </c>
      <c r="AV31" s="23" t="e">
        <f>IF(SUMPRODUCT($J$67:AU$67,$J31:AU31)&lt;0.5, "Pending", IF(AU31&lt;0.5, "Complete", "In Progress"))</f>
        <v>#REF!</v>
      </c>
      <c r="AW31" s="22">
        <v>0</v>
      </c>
      <c r="AX31" s="22" t="e">
        <f t="shared" si="54"/>
        <v>#REF!</v>
      </c>
      <c r="AY31" s="23" t="e">
        <f>IF(SUMPRODUCT($J$67:AX$67,$J31:AX31)&lt;0.5, "Pending", IF(AX31&lt;0.5, "Complete", "In Progress"))</f>
        <v>#REF!</v>
      </c>
      <c r="AZ31" s="22">
        <v>0</v>
      </c>
      <c r="BA31" s="22" t="e">
        <f t="shared" si="55"/>
        <v>#REF!</v>
      </c>
      <c r="BB31" s="23" t="e">
        <f>IF(SUMPRODUCT($J$67:BA$67,$J31:BA31)&lt;0.5, "Pending", IF(BA31&lt;0.5, "Complete", "In Progress"))</f>
        <v>#REF!</v>
      </c>
      <c r="BC31" s="24"/>
      <c r="BD31" s="25">
        <f>SUMPRODUCT($H$67:X$67,$H31:X31)</f>
        <v>5</v>
      </c>
    </row>
    <row r="32" spans="1:56" x14ac:dyDescent="0.2">
      <c r="A32" s="16"/>
      <c r="B32" s="16"/>
      <c r="C32" s="16"/>
      <c r="D32" s="17"/>
      <c r="E32" s="88"/>
      <c r="F32" s="18" t="s">
        <v>76</v>
      </c>
      <c r="G32" s="19" t="e">
        <f t="shared" ca="1" si="56"/>
        <v>#REF!</v>
      </c>
      <c r="H32" s="20">
        <v>1</v>
      </c>
      <c r="I32" s="21">
        <v>0</v>
      </c>
      <c r="J32" s="22">
        <v>0</v>
      </c>
      <c r="K32" s="22">
        <f t="shared" si="42"/>
        <v>0</v>
      </c>
      <c r="L32" s="23" t="str">
        <f>IF(SUMPRODUCT($J$67:K$67,$J32:K32)&lt;0.5, "Pending", IF(K32&lt;0.5, "Complete", "In Progress"))</f>
        <v>Pending</v>
      </c>
      <c r="M32" s="22">
        <v>0</v>
      </c>
      <c r="N32" s="22">
        <f t="shared" si="43"/>
        <v>0</v>
      </c>
      <c r="O32" s="23" t="str">
        <f>IF(SUMPRODUCT($J$67:N$67,$J32:N32)&lt;0.5, "Pending", IF(N32&lt;0.5, "Complete", "In Progress"))</f>
        <v>Pending</v>
      </c>
      <c r="P32" s="22">
        <v>0</v>
      </c>
      <c r="Q32" s="22">
        <f t="shared" si="44"/>
        <v>0</v>
      </c>
      <c r="R32" s="23" t="str">
        <f>IF(SUMPRODUCT($J$67:Q$67,$J32:Q32)&lt;0.5, "Pending", IF(Q32&lt;0.5, "Complete", "In Progress"))</f>
        <v>Pending</v>
      </c>
      <c r="S32" s="22">
        <v>0</v>
      </c>
      <c r="T32" s="22">
        <f t="shared" si="45"/>
        <v>0</v>
      </c>
      <c r="U32" s="23" t="str">
        <f>IF(SUMPRODUCT($J$67:T$67,$J32:T32)&lt;0.5, "Pending", IF(T32&lt;0.5, "Complete", "In Progress"))</f>
        <v>Pending</v>
      </c>
      <c r="V32" s="22">
        <v>0</v>
      </c>
      <c r="W32" s="22">
        <f t="shared" si="46"/>
        <v>0</v>
      </c>
      <c r="X32" s="23" t="str">
        <f>IF(SUMPRODUCT($J$67:W$67,$J32:W32)&lt;0.5, "Pending", IF(W32&lt;0.5, "Complete", "In Progress"))</f>
        <v>Pending</v>
      </c>
      <c r="Y32" s="22">
        <v>0</v>
      </c>
      <c r="Z32" s="22" t="e">
        <f>MAX(#REF!-Y32,0)</f>
        <v>#REF!</v>
      </c>
      <c r="AA32" s="23" t="e">
        <f>IF(SUMPRODUCT($J$67:Z$67,$J32:Z32)&lt;0.5, "Pending", IF(Z32&lt;0.5, "Complete", "In Progress"))</f>
        <v>#REF!</v>
      </c>
      <c r="AB32" s="22">
        <v>0</v>
      </c>
      <c r="AC32" s="22" t="e">
        <f t="shared" si="47"/>
        <v>#REF!</v>
      </c>
      <c r="AD32" s="23" t="e">
        <f>IF(SUMPRODUCT($J$67:AC$67,$J32:AC32)&lt;0.5, "Pending", IF(AC32&lt;0.5, "Complete", "In Progress"))</f>
        <v>#REF!</v>
      </c>
      <c r="AE32" s="22">
        <v>0</v>
      </c>
      <c r="AF32" s="22" t="e">
        <f t="shared" si="48"/>
        <v>#REF!</v>
      </c>
      <c r="AG32" s="23" t="e">
        <f>IF(SUMPRODUCT($J$67:AF$67,$J32:AF32)&lt;0.5, "Pending", IF(AF32&lt;0.5, "Complete", "In Progress"))</f>
        <v>#REF!</v>
      </c>
      <c r="AH32" s="22">
        <v>0</v>
      </c>
      <c r="AI32" s="22" t="e">
        <f t="shared" si="49"/>
        <v>#REF!</v>
      </c>
      <c r="AJ32" s="23" t="e">
        <f>IF(SUMPRODUCT($J$67:AI$67,$J32:AI32)&lt;0.5, "Pending", IF(AI32&lt;0.5, "Complete", "In Progress"))</f>
        <v>#REF!</v>
      </c>
      <c r="AK32" s="22">
        <v>0</v>
      </c>
      <c r="AL32" s="22" t="e">
        <f t="shared" si="50"/>
        <v>#REF!</v>
      </c>
      <c r="AM32" s="23" t="e">
        <f>IF(SUMPRODUCT($J$67:AL$67,$J32:AL32)&lt;0.5, "Pending", IF(AL32&lt;0.5, "Complete", "In Progress"))</f>
        <v>#REF!</v>
      </c>
      <c r="AN32" s="22">
        <v>0</v>
      </c>
      <c r="AO32" s="22" t="e">
        <f t="shared" si="51"/>
        <v>#REF!</v>
      </c>
      <c r="AP32" s="23" t="e">
        <f>IF(SUMPRODUCT($J$67:AO$67,$J32:AO32)&lt;0.5, "Pending", IF(AO32&lt;0.5, "Complete", "In Progress"))</f>
        <v>#REF!</v>
      </c>
      <c r="AQ32" s="22">
        <v>0</v>
      </c>
      <c r="AR32" s="22" t="e">
        <f t="shared" si="52"/>
        <v>#REF!</v>
      </c>
      <c r="AS32" s="23" t="e">
        <f>IF(SUMPRODUCT($J$67:AR$67,$J32:AR32)&lt;0.5, "Pending", IF(AR32&lt;0.5, "Complete", "In Progress"))</f>
        <v>#REF!</v>
      </c>
      <c r="AT32" s="22">
        <v>0</v>
      </c>
      <c r="AU32" s="22" t="e">
        <f t="shared" si="53"/>
        <v>#REF!</v>
      </c>
      <c r="AV32" s="23" t="e">
        <f>IF(SUMPRODUCT($J$67:AU$67,$J32:AU32)&lt;0.5, "Pending", IF(AU32&lt;0.5, "Complete", "In Progress"))</f>
        <v>#REF!</v>
      </c>
      <c r="AW32" s="22">
        <v>0</v>
      </c>
      <c r="AX32" s="22" t="e">
        <f t="shared" si="54"/>
        <v>#REF!</v>
      </c>
      <c r="AY32" s="23" t="e">
        <f>IF(SUMPRODUCT($J$67:AX$67,$J32:AX32)&lt;0.5, "Pending", IF(AX32&lt;0.5, "Complete", "In Progress"))</f>
        <v>#REF!</v>
      </c>
      <c r="AZ32" s="22">
        <v>0</v>
      </c>
      <c r="BA32" s="22" t="e">
        <f t="shared" si="55"/>
        <v>#REF!</v>
      </c>
      <c r="BB32" s="23" t="e">
        <f>IF(SUMPRODUCT($J$67:BA$67,$J32:BA32)&lt;0.5, "Pending", IF(BA32&lt;0.5, "Complete", "In Progress"))</f>
        <v>#REF!</v>
      </c>
      <c r="BC32" s="24"/>
      <c r="BD32" s="25">
        <f>SUMPRODUCT($H$67:X$67,$H32:X32)</f>
        <v>0</v>
      </c>
    </row>
    <row r="33" spans="1:56" x14ac:dyDescent="0.2">
      <c r="A33" s="16"/>
      <c r="B33" s="16"/>
      <c r="C33" s="16"/>
      <c r="D33" s="17"/>
      <c r="E33" s="88"/>
      <c r="F33" s="18" t="s">
        <v>76</v>
      </c>
      <c r="G33" s="19" t="e">
        <f t="shared" ca="1" si="56"/>
        <v>#REF!</v>
      </c>
      <c r="H33" s="20">
        <v>1</v>
      </c>
      <c r="I33" s="21">
        <v>0</v>
      </c>
      <c r="J33" s="22">
        <v>0</v>
      </c>
      <c r="K33" s="22">
        <f t="shared" si="42"/>
        <v>0</v>
      </c>
      <c r="L33" s="23" t="str">
        <f>IF(SUMPRODUCT($J$67:K$67,$J33:K33)&lt;0.5, "Pending", IF(K33&lt;0.5, "Complete", "In Progress"))</f>
        <v>Pending</v>
      </c>
      <c r="M33" s="22">
        <v>0</v>
      </c>
      <c r="N33" s="22">
        <f t="shared" si="43"/>
        <v>0</v>
      </c>
      <c r="O33" s="23" t="str">
        <f>IF(SUMPRODUCT($J$67:N$67,$J33:N33)&lt;0.5, "Pending", IF(N33&lt;0.5, "Complete", "In Progress"))</f>
        <v>Pending</v>
      </c>
      <c r="P33" s="22">
        <v>0</v>
      </c>
      <c r="Q33" s="22">
        <f t="shared" si="44"/>
        <v>0</v>
      </c>
      <c r="R33" s="23" t="str">
        <f>IF(SUMPRODUCT($J$67:Q$67,$J33:Q33)&lt;0.5, "Pending", IF(Q33&lt;0.5, "Complete", "In Progress"))</f>
        <v>Pending</v>
      </c>
      <c r="S33" s="22">
        <v>0</v>
      </c>
      <c r="T33" s="22">
        <f t="shared" si="45"/>
        <v>0</v>
      </c>
      <c r="U33" s="23" t="str">
        <f>IF(SUMPRODUCT($J$67:T$67,$J33:T33)&lt;0.5, "Pending", IF(T33&lt;0.5, "Complete", "In Progress"))</f>
        <v>Pending</v>
      </c>
      <c r="V33" s="22">
        <v>0</v>
      </c>
      <c r="W33" s="22">
        <f t="shared" si="46"/>
        <v>0</v>
      </c>
      <c r="X33" s="23" t="str">
        <f>IF(SUMPRODUCT($J$67:W$67,$J33:W33)&lt;0.5, "Pending", IF(W33&lt;0.5, "Complete", "In Progress"))</f>
        <v>Pending</v>
      </c>
      <c r="Y33" s="22">
        <v>0</v>
      </c>
      <c r="Z33" s="22" t="e">
        <f>MAX(#REF!-Y33,0)</f>
        <v>#REF!</v>
      </c>
      <c r="AA33" s="23" t="e">
        <f>IF(SUMPRODUCT($J$67:Z$67,$J33:Z33)&lt;0.5, "Pending", IF(Z33&lt;0.5, "Complete", "In Progress"))</f>
        <v>#REF!</v>
      </c>
      <c r="AB33" s="22">
        <v>0</v>
      </c>
      <c r="AC33" s="22" t="e">
        <f t="shared" si="47"/>
        <v>#REF!</v>
      </c>
      <c r="AD33" s="23" t="e">
        <f>IF(SUMPRODUCT($J$67:AC$67,$J33:AC33)&lt;0.5, "Pending", IF(AC33&lt;0.5, "Complete", "In Progress"))</f>
        <v>#REF!</v>
      </c>
      <c r="AE33" s="22">
        <v>0</v>
      </c>
      <c r="AF33" s="22" t="e">
        <f t="shared" si="48"/>
        <v>#REF!</v>
      </c>
      <c r="AG33" s="23" t="e">
        <f>IF(SUMPRODUCT($J$67:AF$67,$J33:AF33)&lt;0.5, "Pending", IF(AF33&lt;0.5, "Complete", "In Progress"))</f>
        <v>#REF!</v>
      </c>
      <c r="AH33" s="22">
        <v>0</v>
      </c>
      <c r="AI33" s="22" t="e">
        <f t="shared" si="49"/>
        <v>#REF!</v>
      </c>
      <c r="AJ33" s="23" t="e">
        <f>IF(SUMPRODUCT($J$67:AI$67,$J33:AI33)&lt;0.5, "Pending", IF(AI33&lt;0.5, "Complete", "In Progress"))</f>
        <v>#REF!</v>
      </c>
      <c r="AK33" s="22">
        <v>0</v>
      </c>
      <c r="AL33" s="22" t="e">
        <f t="shared" si="50"/>
        <v>#REF!</v>
      </c>
      <c r="AM33" s="23" t="e">
        <f>IF(SUMPRODUCT($J$67:AL$67,$J33:AL33)&lt;0.5, "Pending", IF(AL33&lt;0.5, "Complete", "In Progress"))</f>
        <v>#REF!</v>
      </c>
      <c r="AN33" s="22">
        <v>0</v>
      </c>
      <c r="AO33" s="22" t="e">
        <f t="shared" si="51"/>
        <v>#REF!</v>
      </c>
      <c r="AP33" s="23" t="e">
        <f>IF(SUMPRODUCT($J$67:AO$67,$J33:AO33)&lt;0.5, "Pending", IF(AO33&lt;0.5, "Complete", "In Progress"))</f>
        <v>#REF!</v>
      </c>
      <c r="AQ33" s="22">
        <v>0</v>
      </c>
      <c r="AR33" s="22" t="e">
        <f t="shared" si="52"/>
        <v>#REF!</v>
      </c>
      <c r="AS33" s="23" t="e">
        <f>IF(SUMPRODUCT($J$67:AR$67,$J33:AR33)&lt;0.5, "Pending", IF(AR33&lt;0.5, "Complete", "In Progress"))</f>
        <v>#REF!</v>
      </c>
      <c r="AT33" s="22">
        <v>0</v>
      </c>
      <c r="AU33" s="22" t="e">
        <f t="shared" si="53"/>
        <v>#REF!</v>
      </c>
      <c r="AV33" s="23" t="e">
        <f>IF(SUMPRODUCT($J$67:AU$67,$J33:AU33)&lt;0.5, "Pending", IF(AU33&lt;0.5, "Complete", "In Progress"))</f>
        <v>#REF!</v>
      </c>
      <c r="AW33" s="22">
        <v>0</v>
      </c>
      <c r="AX33" s="22" t="e">
        <f t="shared" si="54"/>
        <v>#REF!</v>
      </c>
      <c r="AY33" s="23" t="e">
        <f>IF(SUMPRODUCT($J$67:AX$67,$J33:AX33)&lt;0.5, "Pending", IF(AX33&lt;0.5, "Complete", "In Progress"))</f>
        <v>#REF!</v>
      </c>
      <c r="AZ33" s="22">
        <v>0</v>
      </c>
      <c r="BA33" s="22" t="e">
        <f t="shared" si="55"/>
        <v>#REF!</v>
      </c>
      <c r="BB33" s="23" t="e">
        <f>IF(SUMPRODUCT($J$67:BA$67,$J33:BA33)&lt;0.5, "Pending", IF(BA33&lt;0.5, "Complete", "In Progress"))</f>
        <v>#REF!</v>
      </c>
      <c r="BC33" s="24"/>
      <c r="BD33" s="25">
        <f>SUMPRODUCT($H$67:X$67,$H33:X33)</f>
        <v>0</v>
      </c>
    </row>
    <row r="34" spans="1:56" x14ac:dyDescent="0.2">
      <c r="A34" s="16"/>
      <c r="B34" s="16"/>
      <c r="C34" s="16"/>
      <c r="D34" s="17"/>
      <c r="E34" s="88"/>
      <c r="F34" s="18" t="s">
        <v>76</v>
      </c>
      <c r="G34" s="19" t="e">
        <f t="shared" ca="1" si="56"/>
        <v>#REF!</v>
      </c>
      <c r="H34" s="20">
        <v>1</v>
      </c>
      <c r="I34" s="21">
        <v>0</v>
      </c>
      <c r="J34" s="22">
        <v>0</v>
      </c>
      <c r="K34" s="22">
        <f t="shared" si="42"/>
        <v>0</v>
      </c>
      <c r="L34" s="23" t="str">
        <f>IF(SUMPRODUCT($J$67:K$67,$J34:K34)&lt;0.5, "Pending", IF(K34&lt;0.5, "Complete", "In Progress"))</f>
        <v>Pending</v>
      </c>
      <c r="M34" s="22">
        <v>0</v>
      </c>
      <c r="N34" s="22">
        <f t="shared" si="43"/>
        <v>0</v>
      </c>
      <c r="O34" s="23" t="str">
        <f>IF(SUMPRODUCT($J$67:N$67,$J34:N34)&lt;0.5, "Pending", IF(N34&lt;0.5, "Complete", "In Progress"))</f>
        <v>Pending</v>
      </c>
      <c r="P34" s="22">
        <v>0</v>
      </c>
      <c r="Q34" s="22">
        <f t="shared" si="44"/>
        <v>0</v>
      </c>
      <c r="R34" s="23" t="str">
        <f>IF(SUMPRODUCT($J$67:Q$67,$J34:Q34)&lt;0.5, "Pending", IF(Q34&lt;0.5, "Complete", "In Progress"))</f>
        <v>Pending</v>
      </c>
      <c r="S34" s="22">
        <v>0</v>
      </c>
      <c r="T34" s="22">
        <f t="shared" si="45"/>
        <v>0</v>
      </c>
      <c r="U34" s="23" t="str">
        <f>IF(SUMPRODUCT($J$67:T$67,$J34:T34)&lt;0.5, "Pending", IF(T34&lt;0.5, "Complete", "In Progress"))</f>
        <v>Pending</v>
      </c>
      <c r="V34" s="22">
        <v>0</v>
      </c>
      <c r="W34" s="22">
        <f t="shared" si="46"/>
        <v>0</v>
      </c>
      <c r="X34" s="23" t="str">
        <f>IF(SUMPRODUCT($J$67:W$67,$J34:W34)&lt;0.5, "Pending", IF(W34&lt;0.5, "Complete", "In Progress"))</f>
        <v>Pending</v>
      </c>
      <c r="Y34" s="22">
        <v>0</v>
      </c>
      <c r="Z34" s="22" t="e">
        <f>MAX(#REF!-Y34,0)</f>
        <v>#REF!</v>
      </c>
      <c r="AA34" s="23" t="e">
        <f>IF(SUMPRODUCT($J$67:Z$67,$J34:Z34)&lt;0.5, "Pending", IF(Z34&lt;0.5, "Complete", "In Progress"))</f>
        <v>#REF!</v>
      </c>
      <c r="AB34" s="22">
        <v>0</v>
      </c>
      <c r="AC34" s="22" t="e">
        <f t="shared" si="47"/>
        <v>#REF!</v>
      </c>
      <c r="AD34" s="23" t="e">
        <f>IF(SUMPRODUCT($J$67:AC$67,$J34:AC34)&lt;0.5, "Pending", IF(AC34&lt;0.5, "Complete", "In Progress"))</f>
        <v>#REF!</v>
      </c>
      <c r="AE34" s="22">
        <v>0</v>
      </c>
      <c r="AF34" s="22" t="e">
        <f t="shared" si="48"/>
        <v>#REF!</v>
      </c>
      <c r="AG34" s="23" t="e">
        <f>IF(SUMPRODUCT($J$67:AF$67,$J34:AF34)&lt;0.5, "Pending", IF(AF34&lt;0.5, "Complete", "In Progress"))</f>
        <v>#REF!</v>
      </c>
      <c r="AH34" s="22">
        <v>0</v>
      </c>
      <c r="AI34" s="22" t="e">
        <f t="shared" si="49"/>
        <v>#REF!</v>
      </c>
      <c r="AJ34" s="23" t="e">
        <f>IF(SUMPRODUCT($J$67:AI$67,$J34:AI34)&lt;0.5, "Pending", IF(AI34&lt;0.5, "Complete", "In Progress"))</f>
        <v>#REF!</v>
      </c>
      <c r="AK34" s="22">
        <v>0</v>
      </c>
      <c r="AL34" s="22" t="e">
        <f t="shared" si="50"/>
        <v>#REF!</v>
      </c>
      <c r="AM34" s="23" t="e">
        <f>IF(SUMPRODUCT($J$67:AL$67,$J34:AL34)&lt;0.5, "Pending", IF(AL34&lt;0.5, "Complete", "In Progress"))</f>
        <v>#REF!</v>
      </c>
      <c r="AN34" s="22">
        <v>0</v>
      </c>
      <c r="AO34" s="22" t="e">
        <f t="shared" si="51"/>
        <v>#REF!</v>
      </c>
      <c r="AP34" s="23" t="e">
        <f>IF(SUMPRODUCT($J$67:AO$67,$J34:AO34)&lt;0.5, "Pending", IF(AO34&lt;0.5, "Complete", "In Progress"))</f>
        <v>#REF!</v>
      </c>
      <c r="AQ34" s="22">
        <v>0</v>
      </c>
      <c r="AR34" s="22" t="e">
        <f t="shared" si="52"/>
        <v>#REF!</v>
      </c>
      <c r="AS34" s="23" t="e">
        <f>IF(SUMPRODUCT($J$67:AR$67,$J34:AR34)&lt;0.5, "Pending", IF(AR34&lt;0.5, "Complete", "In Progress"))</f>
        <v>#REF!</v>
      </c>
      <c r="AT34" s="22">
        <v>0</v>
      </c>
      <c r="AU34" s="22" t="e">
        <f t="shared" si="53"/>
        <v>#REF!</v>
      </c>
      <c r="AV34" s="23" t="e">
        <f>IF(SUMPRODUCT($J$67:AU$67,$J34:AU34)&lt;0.5, "Pending", IF(AU34&lt;0.5, "Complete", "In Progress"))</f>
        <v>#REF!</v>
      </c>
      <c r="AW34" s="22">
        <v>0</v>
      </c>
      <c r="AX34" s="22" t="e">
        <f t="shared" si="54"/>
        <v>#REF!</v>
      </c>
      <c r="AY34" s="23" t="e">
        <f>IF(SUMPRODUCT($J$67:AX$67,$J34:AX34)&lt;0.5, "Pending", IF(AX34&lt;0.5, "Complete", "In Progress"))</f>
        <v>#REF!</v>
      </c>
      <c r="AZ34" s="22">
        <v>0</v>
      </c>
      <c r="BA34" s="22" t="e">
        <f t="shared" si="55"/>
        <v>#REF!</v>
      </c>
      <c r="BB34" s="23" t="e">
        <f>IF(SUMPRODUCT($J$67:BA$67,$J34:BA34)&lt;0.5, "Pending", IF(BA34&lt;0.5, "Complete", "In Progress"))</f>
        <v>#REF!</v>
      </c>
      <c r="BC34" s="24"/>
      <c r="BD34" s="25">
        <f>SUMPRODUCT($H$67:X$67,$H34:X34)</f>
        <v>0</v>
      </c>
    </row>
    <row r="35" spans="1:56" x14ac:dyDescent="0.2">
      <c r="A35" s="16"/>
      <c r="B35" s="16"/>
      <c r="C35" s="16"/>
      <c r="D35" s="17"/>
      <c r="E35" s="88"/>
      <c r="F35" s="18" t="s">
        <v>76</v>
      </c>
      <c r="G35" s="19" t="e">
        <f t="shared" ca="1" si="56"/>
        <v>#REF!</v>
      </c>
      <c r="H35" s="20">
        <v>1</v>
      </c>
      <c r="I35" s="21">
        <v>0</v>
      </c>
      <c r="J35" s="22">
        <v>0</v>
      </c>
      <c r="K35" s="22">
        <f t="shared" si="42"/>
        <v>0</v>
      </c>
      <c r="L35" s="23" t="str">
        <f>IF(SUMPRODUCT($J$67:K$67,$J35:K35)&lt;0.5, "Pending", IF(K35&lt;0.5, "Complete", "In Progress"))</f>
        <v>Pending</v>
      </c>
      <c r="M35" s="22">
        <v>0</v>
      </c>
      <c r="N35" s="22">
        <f t="shared" si="43"/>
        <v>0</v>
      </c>
      <c r="O35" s="23" t="str">
        <f>IF(SUMPRODUCT($J$67:N$67,$J35:N35)&lt;0.5, "Pending", IF(N35&lt;0.5, "Complete", "In Progress"))</f>
        <v>Pending</v>
      </c>
      <c r="P35" s="22">
        <v>0</v>
      </c>
      <c r="Q35" s="22">
        <f t="shared" si="44"/>
        <v>0</v>
      </c>
      <c r="R35" s="23" t="str">
        <f>IF(SUMPRODUCT($J$67:Q$67,$J35:Q35)&lt;0.5, "Pending", IF(Q35&lt;0.5, "Complete", "In Progress"))</f>
        <v>Pending</v>
      </c>
      <c r="S35" s="22">
        <v>0</v>
      </c>
      <c r="T35" s="22">
        <f t="shared" si="45"/>
        <v>0</v>
      </c>
      <c r="U35" s="23" t="str">
        <f>IF(SUMPRODUCT($J$67:T$67,$J35:T35)&lt;0.5, "Pending", IF(T35&lt;0.5, "Complete", "In Progress"))</f>
        <v>Pending</v>
      </c>
      <c r="V35" s="22">
        <v>0</v>
      </c>
      <c r="W35" s="22">
        <f t="shared" si="46"/>
        <v>0</v>
      </c>
      <c r="X35" s="23" t="str">
        <f>IF(SUMPRODUCT($J$67:W$67,$J35:W35)&lt;0.5, "Pending", IF(W35&lt;0.5, "Complete", "In Progress"))</f>
        <v>Pending</v>
      </c>
      <c r="Y35" s="22">
        <v>0</v>
      </c>
      <c r="Z35" s="22" t="e">
        <f>MAX(#REF!-Y35,0)</f>
        <v>#REF!</v>
      </c>
      <c r="AA35" s="23" t="e">
        <f>IF(SUMPRODUCT($J$67:Z$67,$J35:Z35)&lt;0.5, "Pending", IF(Z35&lt;0.5, "Complete", "In Progress"))</f>
        <v>#REF!</v>
      </c>
      <c r="AB35" s="22">
        <v>0</v>
      </c>
      <c r="AC35" s="22" t="e">
        <f t="shared" si="47"/>
        <v>#REF!</v>
      </c>
      <c r="AD35" s="23" t="e">
        <f>IF(SUMPRODUCT($J$67:AC$67,$J35:AC35)&lt;0.5, "Pending", IF(AC35&lt;0.5, "Complete", "In Progress"))</f>
        <v>#REF!</v>
      </c>
      <c r="AE35" s="22">
        <v>0</v>
      </c>
      <c r="AF35" s="22" t="e">
        <f t="shared" si="48"/>
        <v>#REF!</v>
      </c>
      <c r="AG35" s="23" t="e">
        <f>IF(SUMPRODUCT($J$67:AF$67,$J35:AF35)&lt;0.5, "Pending", IF(AF35&lt;0.5, "Complete", "In Progress"))</f>
        <v>#REF!</v>
      </c>
      <c r="AH35" s="22">
        <v>0</v>
      </c>
      <c r="AI35" s="22" t="e">
        <f t="shared" si="49"/>
        <v>#REF!</v>
      </c>
      <c r="AJ35" s="23" t="e">
        <f>IF(SUMPRODUCT($J$67:AI$67,$J35:AI35)&lt;0.5, "Pending", IF(AI35&lt;0.5, "Complete", "In Progress"))</f>
        <v>#REF!</v>
      </c>
      <c r="AK35" s="22">
        <v>0</v>
      </c>
      <c r="AL35" s="22" t="e">
        <f t="shared" si="50"/>
        <v>#REF!</v>
      </c>
      <c r="AM35" s="23" t="e">
        <f>IF(SUMPRODUCT($J$67:AL$67,$J35:AL35)&lt;0.5, "Pending", IF(AL35&lt;0.5, "Complete", "In Progress"))</f>
        <v>#REF!</v>
      </c>
      <c r="AN35" s="22">
        <v>0</v>
      </c>
      <c r="AO35" s="22" t="e">
        <f t="shared" si="51"/>
        <v>#REF!</v>
      </c>
      <c r="AP35" s="23" t="e">
        <f>IF(SUMPRODUCT($J$67:AO$67,$J35:AO35)&lt;0.5, "Pending", IF(AO35&lt;0.5, "Complete", "In Progress"))</f>
        <v>#REF!</v>
      </c>
      <c r="AQ35" s="22">
        <v>0</v>
      </c>
      <c r="AR35" s="22" t="e">
        <f t="shared" si="52"/>
        <v>#REF!</v>
      </c>
      <c r="AS35" s="23" t="e">
        <f>IF(SUMPRODUCT($J$67:AR$67,$J35:AR35)&lt;0.5, "Pending", IF(AR35&lt;0.5, "Complete", "In Progress"))</f>
        <v>#REF!</v>
      </c>
      <c r="AT35" s="22">
        <v>0</v>
      </c>
      <c r="AU35" s="22" t="e">
        <f t="shared" si="53"/>
        <v>#REF!</v>
      </c>
      <c r="AV35" s="23" t="e">
        <f>IF(SUMPRODUCT($J$67:AU$67,$J35:AU35)&lt;0.5, "Pending", IF(AU35&lt;0.5, "Complete", "In Progress"))</f>
        <v>#REF!</v>
      </c>
      <c r="AW35" s="22">
        <v>0</v>
      </c>
      <c r="AX35" s="22" t="e">
        <f t="shared" si="54"/>
        <v>#REF!</v>
      </c>
      <c r="AY35" s="23" t="e">
        <f>IF(SUMPRODUCT($J$67:AX$67,$J35:AX35)&lt;0.5, "Pending", IF(AX35&lt;0.5, "Complete", "In Progress"))</f>
        <v>#REF!</v>
      </c>
      <c r="AZ35" s="22">
        <v>0</v>
      </c>
      <c r="BA35" s="22" t="e">
        <f t="shared" si="55"/>
        <v>#REF!</v>
      </c>
      <c r="BB35" s="23" t="e">
        <f>IF(SUMPRODUCT($J$67:BA$67,$J35:BA35)&lt;0.5, "Pending", IF(BA35&lt;0.5, "Complete", "In Progress"))</f>
        <v>#REF!</v>
      </c>
      <c r="BC35" s="24"/>
      <c r="BD35" s="25">
        <f>SUMPRODUCT($H$67:X$67,$H35:X35)</f>
        <v>0</v>
      </c>
    </row>
    <row r="36" spans="1:56" x14ac:dyDescent="0.2">
      <c r="A36" s="16"/>
      <c r="B36" s="16"/>
      <c r="C36" s="16"/>
      <c r="D36" s="17"/>
      <c r="E36" s="88"/>
      <c r="F36" s="18" t="s">
        <v>76</v>
      </c>
      <c r="G36" s="19" t="e">
        <f t="shared" ca="1" si="56"/>
        <v>#REF!</v>
      </c>
      <c r="H36" s="20">
        <v>1</v>
      </c>
      <c r="I36" s="21">
        <v>0</v>
      </c>
      <c r="J36" s="22">
        <v>0</v>
      </c>
      <c r="K36" s="22">
        <f t="shared" si="42"/>
        <v>0</v>
      </c>
      <c r="L36" s="23" t="str">
        <f>IF(SUMPRODUCT($J$67:K$67,$J36:K36)&lt;0.5, "Pending", IF(K36&lt;0.5, "Complete", "In Progress"))</f>
        <v>Pending</v>
      </c>
      <c r="M36" s="22">
        <v>0</v>
      </c>
      <c r="N36" s="22">
        <f t="shared" si="43"/>
        <v>0</v>
      </c>
      <c r="O36" s="23" t="str">
        <f>IF(SUMPRODUCT($J$67:N$67,$J36:N36)&lt;0.5, "Pending", IF(N36&lt;0.5, "Complete", "In Progress"))</f>
        <v>Pending</v>
      </c>
      <c r="P36" s="22">
        <v>0</v>
      </c>
      <c r="Q36" s="22">
        <f t="shared" si="44"/>
        <v>0</v>
      </c>
      <c r="R36" s="23" t="str">
        <f>IF(SUMPRODUCT($J$67:Q$67,$J36:Q36)&lt;0.5, "Pending", IF(Q36&lt;0.5, "Complete", "In Progress"))</f>
        <v>Pending</v>
      </c>
      <c r="S36" s="22">
        <v>0</v>
      </c>
      <c r="T36" s="22">
        <f t="shared" si="45"/>
        <v>0</v>
      </c>
      <c r="U36" s="23" t="str">
        <f>IF(SUMPRODUCT($J$67:T$67,$J36:T36)&lt;0.5, "Pending", IF(T36&lt;0.5, "Complete", "In Progress"))</f>
        <v>Pending</v>
      </c>
      <c r="V36" s="22">
        <v>0</v>
      </c>
      <c r="W36" s="22">
        <f t="shared" si="46"/>
        <v>0</v>
      </c>
      <c r="X36" s="23" t="str">
        <f>IF(SUMPRODUCT($J$67:W$67,$J36:W36)&lt;0.5, "Pending", IF(W36&lt;0.5, "Complete", "In Progress"))</f>
        <v>Pending</v>
      </c>
      <c r="Y36" s="22">
        <v>0</v>
      </c>
      <c r="Z36" s="22" t="e">
        <f>MAX(#REF!-Y36,0)</f>
        <v>#REF!</v>
      </c>
      <c r="AA36" s="23" t="e">
        <f>IF(SUMPRODUCT($J$67:Z$67,$J36:Z36)&lt;0.5, "Pending", IF(Z36&lt;0.5, "Complete", "In Progress"))</f>
        <v>#REF!</v>
      </c>
      <c r="AB36" s="22">
        <v>0</v>
      </c>
      <c r="AC36" s="22" t="e">
        <f t="shared" si="47"/>
        <v>#REF!</v>
      </c>
      <c r="AD36" s="23" t="e">
        <f>IF(SUMPRODUCT($J$67:AC$67,$J36:AC36)&lt;0.5, "Pending", IF(AC36&lt;0.5, "Complete", "In Progress"))</f>
        <v>#REF!</v>
      </c>
      <c r="AE36" s="22">
        <v>0</v>
      </c>
      <c r="AF36" s="22" t="e">
        <f t="shared" si="48"/>
        <v>#REF!</v>
      </c>
      <c r="AG36" s="23" t="e">
        <f>IF(SUMPRODUCT($J$67:AF$67,$J36:AF36)&lt;0.5, "Pending", IF(AF36&lt;0.5, "Complete", "In Progress"))</f>
        <v>#REF!</v>
      </c>
      <c r="AH36" s="22">
        <v>0</v>
      </c>
      <c r="AI36" s="22" t="e">
        <f t="shared" si="49"/>
        <v>#REF!</v>
      </c>
      <c r="AJ36" s="23" t="e">
        <f>IF(SUMPRODUCT($J$67:AI$67,$J36:AI36)&lt;0.5, "Pending", IF(AI36&lt;0.5, "Complete", "In Progress"))</f>
        <v>#REF!</v>
      </c>
      <c r="AK36" s="22">
        <v>0</v>
      </c>
      <c r="AL36" s="22" t="e">
        <f t="shared" si="50"/>
        <v>#REF!</v>
      </c>
      <c r="AM36" s="23" t="e">
        <f>IF(SUMPRODUCT($J$67:AL$67,$J36:AL36)&lt;0.5, "Pending", IF(AL36&lt;0.5, "Complete", "In Progress"))</f>
        <v>#REF!</v>
      </c>
      <c r="AN36" s="22">
        <v>0</v>
      </c>
      <c r="AO36" s="22" t="e">
        <f t="shared" si="51"/>
        <v>#REF!</v>
      </c>
      <c r="AP36" s="23" t="e">
        <f>IF(SUMPRODUCT($J$67:AO$67,$J36:AO36)&lt;0.5, "Pending", IF(AO36&lt;0.5, "Complete", "In Progress"))</f>
        <v>#REF!</v>
      </c>
      <c r="AQ36" s="22">
        <v>0</v>
      </c>
      <c r="AR36" s="22" t="e">
        <f t="shared" si="52"/>
        <v>#REF!</v>
      </c>
      <c r="AS36" s="23" t="e">
        <f>IF(SUMPRODUCT($J$67:AR$67,$J36:AR36)&lt;0.5, "Pending", IF(AR36&lt;0.5, "Complete", "In Progress"))</f>
        <v>#REF!</v>
      </c>
      <c r="AT36" s="22">
        <v>0</v>
      </c>
      <c r="AU36" s="22" t="e">
        <f t="shared" si="53"/>
        <v>#REF!</v>
      </c>
      <c r="AV36" s="23" t="e">
        <f>IF(SUMPRODUCT($J$67:AU$67,$J36:AU36)&lt;0.5, "Pending", IF(AU36&lt;0.5, "Complete", "In Progress"))</f>
        <v>#REF!</v>
      </c>
      <c r="AW36" s="22">
        <v>0</v>
      </c>
      <c r="AX36" s="22" t="e">
        <f t="shared" si="54"/>
        <v>#REF!</v>
      </c>
      <c r="AY36" s="23" t="e">
        <f>IF(SUMPRODUCT($J$67:AX$67,$J36:AX36)&lt;0.5, "Pending", IF(AX36&lt;0.5, "Complete", "In Progress"))</f>
        <v>#REF!</v>
      </c>
      <c r="AZ36" s="22">
        <v>0</v>
      </c>
      <c r="BA36" s="22" t="e">
        <f t="shared" si="55"/>
        <v>#REF!</v>
      </c>
      <c r="BB36" s="23" t="e">
        <f>IF(SUMPRODUCT($J$67:BA$67,$J36:BA36)&lt;0.5, "Pending", IF(BA36&lt;0.5, "Complete", "In Progress"))</f>
        <v>#REF!</v>
      </c>
      <c r="BC36" s="24"/>
      <c r="BD36" s="25">
        <f>SUMPRODUCT($H$67:X$67,$H36:X36)</f>
        <v>0</v>
      </c>
    </row>
    <row r="37" spans="1:56" x14ac:dyDescent="0.2">
      <c r="A37" s="16"/>
      <c r="B37" s="16"/>
      <c r="C37" s="16"/>
      <c r="D37" s="17"/>
      <c r="E37" s="88"/>
      <c r="F37" s="18" t="s">
        <v>76</v>
      </c>
      <c r="G37" s="19" t="e">
        <f t="shared" ca="1" si="56"/>
        <v>#REF!</v>
      </c>
      <c r="H37" s="20">
        <v>1</v>
      </c>
      <c r="I37" s="21">
        <v>0</v>
      </c>
      <c r="J37" s="22">
        <v>0</v>
      </c>
      <c r="K37" s="22">
        <f t="shared" si="42"/>
        <v>0</v>
      </c>
      <c r="L37" s="23" t="str">
        <f>IF(SUMPRODUCT($J$67:K$67,$J37:K37)&lt;0.5, "Pending", IF(K37&lt;0.5, "Complete", "In Progress"))</f>
        <v>Pending</v>
      </c>
      <c r="M37" s="22">
        <v>0</v>
      </c>
      <c r="N37" s="22">
        <f t="shared" si="43"/>
        <v>0</v>
      </c>
      <c r="O37" s="23" t="str">
        <f>IF(SUMPRODUCT($J$67:N$67,$J37:N37)&lt;0.5, "Pending", IF(N37&lt;0.5, "Complete", "In Progress"))</f>
        <v>Pending</v>
      </c>
      <c r="P37" s="22">
        <v>0</v>
      </c>
      <c r="Q37" s="22">
        <f t="shared" si="44"/>
        <v>0</v>
      </c>
      <c r="R37" s="23" t="str">
        <f>IF(SUMPRODUCT($J$67:Q$67,$J37:Q37)&lt;0.5, "Pending", IF(Q37&lt;0.5, "Complete", "In Progress"))</f>
        <v>Pending</v>
      </c>
      <c r="S37" s="22">
        <v>0</v>
      </c>
      <c r="T37" s="22">
        <f t="shared" si="45"/>
        <v>0</v>
      </c>
      <c r="U37" s="23" t="str">
        <f>IF(SUMPRODUCT($J$67:T$67,$J37:T37)&lt;0.5, "Pending", IF(T37&lt;0.5, "Complete", "In Progress"))</f>
        <v>Pending</v>
      </c>
      <c r="V37" s="22">
        <v>0</v>
      </c>
      <c r="W37" s="22">
        <f t="shared" si="46"/>
        <v>0</v>
      </c>
      <c r="X37" s="23" t="str">
        <f>IF(SUMPRODUCT($J$67:W$67,$J37:W37)&lt;0.5, "Pending", IF(W37&lt;0.5, "Complete", "In Progress"))</f>
        <v>Pending</v>
      </c>
      <c r="Y37" s="22">
        <v>0</v>
      </c>
      <c r="Z37" s="22" t="e">
        <f>MAX(#REF!-Y37,0)</f>
        <v>#REF!</v>
      </c>
      <c r="AA37" s="23" t="e">
        <f>IF(SUMPRODUCT($J$67:Z$67,$J37:Z37)&lt;0.5, "Pending", IF(Z37&lt;0.5, "Complete", "In Progress"))</f>
        <v>#REF!</v>
      </c>
      <c r="AB37" s="22">
        <v>0</v>
      </c>
      <c r="AC37" s="22" t="e">
        <f t="shared" si="47"/>
        <v>#REF!</v>
      </c>
      <c r="AD37" s="23" t="e">
        <f>IF(SUMPRODUCT($J$67:AC$67,$J37:AC37)&lt;0.5, "Pending", IF(AC37&lt;0.5, "Complete", "In Progress"))</f>
        <v>#REF!</v>
      </c>
      <c r="AE37" s="22">
        <v>0</v>
      </c>
      <c r="AF37" s="22" t="e">
        <f t="shared" si="48"/>
        <v>#REF!</v>
      </c>
      <c r="AG37" s="23" t="e">
        <f>IF(SUMPRODUCT($J$67:AF$67,$J37:AF37)&lt;0.5, "Pending", IF(AF37&lt;0.5, "Complete", "In Progress"))</f>
        <v>#REF!</v>
      </c>
      <c r="AH37" s="22">
        <v>0</v>
      </c>
      <c r="AI37" s="22" t="e">
        <f t="shared" si="49"/>
        <v>#REF!</v>
      </c>
      <c r="AJ37" s="23" t="e">
        <f>IF(SUMPRODUCT($J$67:AI$67,$J37:AI37)&lt;0.5, "Pending", IF(AI37&lt;0.5, "Complete", "In Progress"))</f>
        <v>#REF!</v>
      </c>
      <c r="AK37" s="22">
        <v>0</v>
      </c>
      <c r="AL37" s="22" t="e">
        <f t="shared" si="50"/>
        <v>#REF!</v>
      </c>
      <c r="AM37" s="23" t="e">
        <f>IF(SUMPRODUCT($J$67:AL$67,$J37:AL37)&lt;0.5, "Pending", IF(AL37&lt;0.5, "Complete", "In Progress"))</f>
        <v>#REF!</v>
      </c>
      <c r="AN37" s="22">
        <v>0</v>
      </c>
      <c r="AO37" s="22" t="e">
        <f t="shared" si="51"/>
        <v>#REF!</v>
      </c>
      <c r="AP37" s="23" t="e">
        <f>IF(SUMPRODUCT($J$67:AO$67,$J37:AO37)&lt;0.5, "Pending", IF(AO37&lt;0.5, "Complete", "In Progress"))</f>
        <v>#REF!</v>
      </c>
      <c r="AQ37" s="22">
        <v>0</v>
      </c>
      <c r="AR37" s="22" t="e">
        <f t="shared" si="52"/>
        <v>#REF!</v>
      </c>
      <c r="AS37" s="23" t="e">
        <f>IF(SUMPRODUCT($J$67:AR$67,$J37:AR37)&lt;0.5, "Pending", IF(AR37&lt;0.5, "Complete", "In Progress"))</f>
        <v>#REF!</v>
      </c>
      <c r="AT37" s="22">
        <v>0</v>
      </c>
      <c r="AU37" s="22" t="e">
        <f t="shared" si="53"/>
        <v>#REF!</v>
      </c>
      <c r="AV37" s="23" t="e">
        <f>IF(SUMPRODUCT($J$67:AU$67,$J37:AU37)&lt;0.5, "Pending", IF(AU37&lt;0.5, "Complete", "In Progress"))</f>
        <v>#REF!</v>
      </c>
      <c r="AW37" s="22">
        <v>0</v>
      </c>
      <c r="AX37" s="22" t="e">
        <f t="shared" si="54"/>
        <v>#REF!</v>
      </c>
      <c r="AY37" s="23" t="e">
        <f>IF(SUMPRODUCT($J$67:AX$67,$J37:AX37)&lt;0.5, "Pending", IF(AX37&lt;0.5, "Complete", "In Progress"))</f>
        <v>#REF!</v>
      </c>
      <c r="AZ37" s="22">
        <v>0</v>
      </c>
      <c r="BA37" s="22" t="e">
        <f t="shared" si="55"/>
        <v>#REF!</v>
      </c>
      <c r="BB37" s="23" t="e">
        <f>IF(SUMPRODUCT($J$67:BA$67,$J37:BA37)&lt;0.5, "Pending", IF(BA37&lt;0.5, "Complete", "In Progress"))</f>
        <v>#REF!</v>
      </c>
      <c r="BC37" s="24"/>
      <c r="BD37" s="25">
        <f>SUMPRODUCT($H$67:X$67,$H37:X37)</f>
        <v>0</v>
      </c>
    </row>
    <row r="38" spans="1:56" x14ac:dyDescent="0.2">
      <c r="A38" s="16"/>
      <c r="B38" s="16"/>
      <c r="C38" s="16"/>
      <c r="D38" s="17"/>
      <c r="E38" s="88"/>
      <c r="F38" s="18" t="s">
        <v>76</v>
      </c>
      <c r="G38" s="19" t="e">
        <f t="shared" ca="1" si="56"/>
        <v>#REF!</v>
      </c>
      <c r="H38" s="20">
        <v>1</v>
      </c>
      <c r="I38" s="21">
        <v>0</v>
      </c>
      <c r="J38" s="22">
        <v>0</v>
      </c>
      <c r="K38" s="22">
        <f t="shared" si="42"/>
        <v>0</v>
      </c>
      <c r="L38" s="23" t="str">
        <f>IF(SUMPRODUCT($J$67:K$67,$J38:K38)&lt;0.5, "Pending", IF(K38&lt;0.5, "Complete", "In Progress"))</f>
        <v>Pending</v>
      </c>
      <c r="M38" s="22">
        <v>0</v>
      </c>
      <c r="N38" s="22">
        <f t="shared" si="43"/>
        <v>0</v>
      </c>
      <c r="O38" s="23" t="str">
        <f>IF(SUMPRODUCT($J$67:N$67,$J38:N38)&lt;0.5, "Pending", IF(N38&lt;0.5, "Complete", "In Progress"))</f>
        <v>Pending</v>
      </c>
      <c r="P38" s="22">
        <v>0</v>
      </c>
      <c r="Q38" s="22">
        <f t="shared" si="44"/>
        <v>0</v>
      </c>
      <c r="R38" s="23" t="str">
        <f>IF(SUMPRODUCT($J$67:Q$67,$J38:Q38)&lt;0.5, "Pending", IF(Q38&lt;0.5, "Complete", "In Progress"))</f>
        <v>Pending</v>
      </c>
      <c r="S38" s="22">
        <v>0</v>
      </c>
      <c r="T38" s="22">
        <f t="shared" si="45"/>
        <v>0</v>
      </c>
      <c r="U38" s="23" t="str">
        <f>IF(SUMPRODUCT($J$67:T$67,$J38:T38)&lt;0.5, "Pending", IF(T38&lt;0.5, "Complete", "In Progress"))</f>
        <v>Pending</v>
      </c>
      <c r="V38" s="22">
        <v>0</v>
      </c>
      <c r="W38" s="22">
        <f t="shared" si="46"/>
        <v>0</v>
      </c>
      <c r="X38" s="23" t="str">
        <f>IF(SUMPRODUCT($J$67:W$67,$J38:W38)&lt;0.5, "Pending", IF(W38&lt;0.5, "Complete", "In Progress"))</f>
        <v>Pending</v>
      </c>
      <c r="Y38" s="22">
        <v>0</v>
      </c>
      <c r="Z38" s="22" t="e">
        <f>MAX(#REF!-Y38,0)</f>
        <v>#REF!</v>
      </c>
      <c r="AA38" s="23" t="e">
        <f>IF(SUMPRODUCT($J$67:Z$67,$J38:Z38)&lt;0.5, "Pending", IF(Z38&lt;0.5, "Complete", "In Progress"))</f>
        <v>#REF!</v>
      </c>
      <c r="AB38" s="22">
        <v>0</v>
      </c>
      <c r="AC38" s="22" t="e">
        <f t="shared" si="47"/>
        <v>#REF!</v>
      </c>
      <c r="AD38" s="23" t="e">
        <f>IF(SUMPRODUCT($J$67:AC$67,$J38:AC38)&lt;0.5, "Pending", IF(AC38&lt;0.5, "Complete", "In Progress"))</f>
        <v>#REF!</v>
      </c>
      <c r="AE38" s="22">
        <v>0</v>
      </c>
      <c r="AF38" s="22" t="e">
        <f t="shared" si="48"/>
        <v>#REF!</v>
      </c>
      <c r="AG38" s="23" t="e">
        <f>IF(SUMPRODUCT($J$67:AF$67,$J38:AF38)&lt;0.5, "Pending", IF(AF38&lt;0.5, "Complete", "In Progress"))</f>
        <v>#REF!</v>
      </c>
      <c r="AH38" s="22">
        <v>0</v>
      </c>
      <c r="AI38" s="22" t="e">
        <f t="shared" si="49"/>
        <v>#REF!</v>
      </c>
      <c r="AJ38" s="23" t="e">
        <f>IF(SUMPRODUCT($J$67:AI$67,$J38:AI38)&lt;0.5, "Pending", IF(AI38&lt;0.5, "Complete", "In Progress"))</f>
        <v>#REF!</v>
      </c>
      <c r="AK38" s="22">
        <v>0</v>
      </c>
      <c r="AL38" s="22" t="e">
        <f t="shared" si="50"/>
        <v>#REF!</v>
      </c>
      <c r="AM38" s="23" t="e">
        <f>IF(SUMPRODUCT($J$67:AL$67,$J38:AL38)&lt;0.5, "Pending", IF(AL38&lt;0.5, "Complete", "In Progress"))</f>
        <v>#REF!</v>
      </c>
      <c r="AN38" s="22">
        <v>0</v>
      </c>
      <c r="AO38" s="22" t="e">
        <f t="shared" si="51"/>
        <v>#REF!</v>
      </c>
      <c r="AP38" s="23" t="e">
        <f>IF(SUMPRODUCT($J$67:AO$67,$J38:AO38)&lt;0.5, "Pending", IF(AO38&lt;0.5, "Complete", "In Progress"))</f>
        <v>#REF!</v>
      </c>
      <c r="AQ38" s="22">
        <v>0</v>
      </c>
      <c r="AR38" s="22" t="e">
        <f t="shared" si="52"/>
        <v>#REF!</v>
      </c>
      <c r="AS38" s="23" t="e">
        <f>IF(SUMPRODUCT($J$67:AR$67,$J38:AR38)&lt;0.5, "Pending", IF(AR38&lt;0.5, "Complete", "In Progress"))</f>
        <v>#REF!</v>
      </c>
      <c r="AT38" s="22">
        <v>0</v>
      </c>
      <c r="AU38" s="22" t="e">
        <f t="shared" si="53"/>
        <v>#REF!</v>
      </c>
      <c r="AV38" s="23" t="e">
        <f>IF(SUMPRODUCT($J$67:AU$67,$J38:AU38)&lt;0.5, "Pending", IF(AU38&lt;0.5, "Complete", "In Progress"))</f>
        <v>#REF!</v>
      </c>
      <c r="AW38" s="22">
        <v>0</v>
      </c>
      <c r="AX38" s="22" t="e">
        <f t="shared" si="54"/>
        <v>#REF!</v>
      </c>
      <c r="AY38" s="23" t="e">
        <f>IF(SUMPRODUCT($J$67:AX$67,$J38:AX38)&lt;0.5, "Pending", IF(AX38&lt;0.5, "Complete", "In Progress"))</f>
        <v>#REF!</v>
      </c>
      <c r="AZ38" s="22">
        <v>0</v>
      </c>
      <c r="BA38" s="22" t="e">
        <f t="shared" si="55"/>
        <v>#REF!</v>
      </c>
      <c r="BB38" s="23" t="e">
        <f>IF(SUMPRODUCT($J$67:BA$67,$J38:BA38)&lt;0.5, "Pending", IF(BA38&lt;0.5, "Complete", "In Progress"))</f>
        <v>#REF!</v>
      </c>
      <c r="BC38" s="24"/>
      <c r="BD38" s="25">
        <f>SUMPRODUCT($H$67:X$67,$H38:X38)</f>
        <v>0</v>
      </c>
    </row>
    <row r="39" spans="1:56" x14ac:dyDescent="0.2">
      <c r="A39" s="16"/>
      <c r="B39" s="16"/>
      <c r="C39" s="16"/>
      <c r="D39" s="17"/>
      <c r="E39" s="88"/>
      <c r="F39" s="18" t="s">
        <v>76</v>
      </c>
      <c r="G39" s="19" t="e">
        <f t="shared" ca="1" si="56"/>
        <v>#REF!</v>
      </c>
      <c r="H39" s="20">
        <v>1</v>
      </c>
      <c r="I39" s="21">
        <v>0</v>
      </c>
      <c r="J39" s="22">
        <v>0</v>
      </c>
      <c r="K39" s="22">
        <f t="shared" si="42"/>
        <v>0</v>
      </c>
      <c r="L39" s="23" t="str">
        <f>IF(SUMPRODUCT($J$67:K$67,$J39:K39)&lt;0.5, "Pending", IF(K39&lt;0.5, "Complete", "In Progress"))</f>
        <v>Pending</v>
      </c>
      <c r="M39" s="22">
        <v>0</v>
      </c>
      <c r="N39" s="22">
        <f t="shared" si="43"/>
        <v>0</v>
      </c>
      <c r="O39" s="23" t="str">
        <f>IF(SUMPRODUCT($J$67:N$67,$J39:N39)&lt;0.5, "Pending", IF(N39&lt;0.5, "Complete", "In Progress"))</f>
        <v>Pending</v>
      </c>
      <c r="P39" s="22">
        <v>0</v>
      </c>
      <c r="Q39" s="22">
        <f t="shared" si="44"/>
        <v>0</v>
      </c>
      <c r="R39" s="23" t="str">
        <f>IF(SUMPRODUCT($J$67:Q$67,$J39:Q39)&lt;0.5, "Pending", IF(Q39&lt;0.5, "Complete", "In Progress"))</f>
        <v>Pending</v>
      </c>
      <c r="S39" s="22">
        <v>0</v>
      </c>
      <c r="T39" s="22">
        <f t="shared" si="45"/>
        <v>0</v>
      </c>
      <c r="U39" s="23" t="str">
        <f>IF(SUMPRODUCT($J$67:T$67,$J39:T39)&lt;0.5, "Pending", IF(T39&lt;0.5, "Complete", "In Progress"))</f>
        <v>Pending</v>
      </c>
      <c r="V39" s="22">
        <v>0</v>
      </c>
      <c r="W39" s="22">
        <f t="shared" si="46"/>
        <v>0</v>
      </c>
      <c r="X39" s="23" t="str">
        <f>IF(SUMPRODUCT($J$67:W$67,$J39:W39)&lt;0.5, "Pending", IF(W39&lt;0.5, "Complete", "In Progress"))</f>
        <v>Pending</v>
      </c>
      <c r="Y39" s="22">
        <v>0</v>
      </c>
      <c r="Z39" s="22" t="e">
        <f>MAX(#REF!-Y39,0)</f>
        <v>#REF!</v>
      </c>
      <c r="AA39" s="23" t="e">
        <f>IF(SUMPRODUCT($J$67:Z$67,$J39:Z39)&lt;0.5, "Pending", IF(Z39&lt;0.5, "Complete", "In Progress"))</f>
        <v>#REF!</v>
      </c>
      <c r="AB39" s="22">
        <v>0</v>
      </c>
      <c r="AC39" s="22" t="e">
        <f t="shared" si="47"/>
        <v>#REF!</v>
      </c>
      <c r="AD39" s="23" t="e">
        <f>IF(SUMPRODUCT($J$67:AC$67,$J39:AC39)&lt;0.5, "Pending", IF(AC39&lt;0.5, "Complete", "In Progress"))</f>
        <v>#REF!</v>
      </c>
      <c r="AE39" s="22">
        <v>0</v>
      </c>
      <c r="AF39" s="22" t="e">
        <f t="shared" si="48"/>
        <v>#REF!</v>
      </c>
      <c r="AG39" s="23" t="e">
        <f>IF(SUMPRODUCT($J$67:AF$67,$J39:AF39)&lt;0.5, "Pending", IF(AF39&lt;0.5, "Complete", "In Progress"))</f>
        <v>#REF!</v>
      </c>
      <c r="AH39" s="22">
        <v>0</v>
      </c>
      <c r="AI39" s="22" t="e">
        <f t="shared" si="49"/>
        <v>#REF!</v>
      </c>
      <c r="AJ39" s="23" t="e">
        <f>IF(SUMPRODUCT($J$67:AI$67,$J39:AI39)&lt;0.5, "Pending", IF(AI39&lt;0.5, "Complete", "In Progress"))</f>
        <v>#REF!</v>
      </c>
      <c r="AK39" s="22">
        <v>0</v>
      </c>
      <c r="AL39" s="22" t="e">
        <f t="shared" si="50"/>
        <v>#REF!</v>
      </c>
      <c r="AM39" s="23" t="e">
        <f>IF(SUMPRODUCT($J$67:AL$67,$J39:AL39)&lt;0.5, "Pending", IF(AL39&lt;0.5, "Complete", "In Progress"))</f>
        <v>#REF!</v>
      </c>
      <c r="AN39" s="22">
        <v>0</v>
      </c>
      <c r="AO39" s="22" t="e">
        <f t="shared" si="51"/>
        <v>#REF!</v>
      </c>
      <c r="AP39" s="23" t="e">
        <f>IF(SUMPRODUCT($J$67:AO$67,$J39:AO39)&lt;0.5, "Pending", IF(AO39&lt;0.5, "Complete", "In Progress"))</f>
        <v>#REF!</v>
      </c>
      <c r="AQ39" s="22">
        <v>0</v>
      </c>
      <c r="AR39" s="22" t="e">
        <f t="shared" si="52"/>
        <v>#REF!</v>
      </c>
      <c r="AS39" s="23" t="e">
        <f>IF(SUMPRODUCT($J$67:AR$67,$J39:AR39)&lt;0.5, "Pending", IF(AR39&lt;0.5, "Complete", "In Progress"))</f>
        <v>#REF!</v>
      </c>
      <c r="AT39" s="22">
        <v>0</v>
      </c>
      <c r="AU39" s="22" t="e">
        <f t="shared" si="53"/>
        <v>#REF!</v>
      </c>
      <c r="AV39" s="23" t="e">
        <f>IF(SUMPRODUCT($J$67:AU$67,$J39:AU39)&lt;0.5, "Pending", IF(AU39&lt;0.5, "Complete", "In Progress"))</f>
        <v>#REF!</v>
      </c>
      <c r="AW39" s="22">
        <v>0</v>
      </c>
      <c r="AX39" s="22" t="e">
        <f t="shared" si="54"/>
        <v>#REF!</v>
      </c>
      <c r="AY39" s="23" t="e">
        <f>IF(SUMPRODUCT($J$67:AX$67,$J39:AX39)&lt;0.5, "Pending", IF(AX39&lt;0.5, "Complete", "In Progress"))</f>
        <v>#REF!</v>
      </c>
      <c r="AZ39" s="22">
        <v>0</v>
      </c>
      <c r="BA39" s="22" t="e">
        <f t="shared" si="55"/>
        <v>#REF!</v>
      </c>
      <c r="BB39" s="23" t="e">
        <f>IF(SUMPRODUCT($J$67:BA$67,$J39:BA39)&lt;0.5, "Pending", IF(BA39&lt;0.5, "Complete", "In Progress"))</f>
        <v>#REF!</v>
      </c>
      <c r="BC39" s="24"/>
      <c r="BD39" s="25">
        <f>SUMPRODUCT($H$67:X$67,$H39:X39)</f>
        <v>0</v>
      </c>
    </row>
    <row r="40" spans="1:56" x14ac:dyDescent="0.2">
      <c r="A40" s="16"/>
      <c r="B40" s="16"/>
      <c r="C40" s="16"/>
      <c r="D40" s="17"/>
      <c r="E40" s="88"/>
      <c r="F40" s="18" t="s">
        <v>76</v>
      </c>
      <c r="G40" s="19" t="e">
        <f t="shared" ca="1" si="56"/>
        <v>#REF!</v>
      </c>
      <c r="H40" s="20">
        <v>1</v>
      </c>
      <c r="I40" s="21">
        <v>0</v>
      </c>
      <c r="J40" s="22">
        <v>0</v>
      </c>
      <c r="K40" s="22">
        <f t="shared" si="42"/>
        <v>0</v>
      </c>
      <c r="L40" s="23" t="str">
        <f>IF(SUMPRODUCT($J$67:K$67,$J40:K40)&lt;0.5, "Pending", IF(K40&lt;0.5, "Complete", "In Progress"))</f>
        <v>Pending</v>
      </c>
      <c r="M40" s="22">
        <v>0</v>
      </c>
      <c r="N40" s="22">
        <f t="shared" si="43"/>
        <v>0</v>
      </c>
      <c r="O40" s="23" t="str">
        <f>IF(SUMPRODUCT($J$67:N$67,$J40:N40)&lt;0.5, "Pending", IF(N40&lt;0.5, "Complete", "In Progress"))</f>
        <v>Pending</v>
      </c>
      <c r="P40" s="22">
        <v>0</v>
      </c>
      <c r="Q40" s="22">
        <f t="shared" si="44"/>
        <v>0</v>
      </c>
      <c r="R40" s="23" t="str">
        <f>IF(SUMPRODUCT($J$67:Q$67,$J40:Q40)&lt;0.5, "Pending", IF(Q40&lt;0.5, "Complete", "In Progress"))</f>
        <v>Pending</v>
      </c>
      <c r="S40" s="22">
        <v>0</v>
      </c>
      <c r="T40" s="22">
        <f t="shared" si="45"/>
        <v>0</v>
      </c>
      <c r="U40" s="23" t="str">
        <f>IF(SUMPRODUCT($J$67:T$67,$J40:T40)&lt;0.5, "Pending", IF(T40&lt;0.5, "Complete", "In Progress"))</f>
        <v>Pending</v>
      </c>
      <c r="V40" s="22">
        <v>0</v>
      </c>
      <c r="W40" s="22">
        <f t="shared" si="46"/>
        <v>0</v>
      </c>
      <c r="X40" s="23" t="str">
        <f>IF(SUMPRODUCT($J$67:W$67,$J40:W40)&lt;0.5, "Pending", IF(W40&lt;0.5, "Complete", "In Progress"))</f>
        <v>Pending</v>
      </c>
      <c r="Y40" s="22">
        <v>0</v>
      </c>
      <c r="Z40" s="22" t="e">
        <f>MAX(#REF!-Y40,0)</f>
        <v>#REF!</v>
      </c>
      <c r="AA40" s="23" t="e">
        <f>IF(SUMPRODUCT($J$67:Z$67,$J40:Z40)&lt;0.5, "Pending", IF(Z40&lt;0.5, "Complete", "In Progress"))</f>
        <v>#REF!</v>
      </c>
      <c r="AB40" s="22">
        <v>0</v>
      </c>
      <c r="AC40" s="22" t="e">
        <f t="shared" si="47"/>
        <v>#REF!</v>
      </c>
      <c r="AD40" s="23" t="e">
        <f>IF(SUMPRODUCT($J$67:AC$67,$J40:AC40)&lt;0.5, "Pending", IF(AC40&lt;0.5, "Complete", "In Progress"))</f>
        <v>#REF!</v>
      </c>
      <c r="AE40" s="22">
        <v>0</v>
      </c>
      <c r="AF40" s="22" t="e">
        <f t="shared" si="48"/>
        <v>#REF!</v>
      </c>
      <c r="AG40" s="23" t="e">
        <f>IF(SUMPRODUCT($J$67:AF$67,$J40:AF40)&lt;0.5, "Pending", IF(AF40&lt;0.5, "Complete", "In Progress"))</f>
        <v>#REF!</v>
      </c>
      <c r="AH40" s="22">
        <v>0</v>
      </c>
      <c r="AI40" s="22" t="e">
        <f t="shared" si="49"/>
        <v>#REF!</v>
      </c>
      <c r="AJ40" s="23" t="e">
        <f>IF(SUMPRODUCT($J$67:AI$67,$J40:AI40)&lt;0.5, "Pending", IF(AI40&lt;0.5, "Complete", "In Progress"))</f>
        <v>#REF!</v>
      </c>
      <c r="AK40" s="22">
        <v>0</v>
      </c>
      <c r="AL40" s="22" t="e">
        <f t="shared" si="50"/>
        <v>#REF!</v>
      </c>
      <c r="AM40" s="23" t="e">
        <f>IF(SUMPRODUCT($J$67:AL$67,$J40:AL40)&lt;0.5, "Pending", IF(AL40&lt;0.5, "Complete", "In Progress"))</f>
        <v>#REF!</v>
      </c>
      <c r="AN40" s="22">
        <v>0</v>
      </c>
      <c r="AO40" s="22" t="e">
        <f t="shared" si="51"/>
        <v>#REF!</v>
      </c>
      <c r="AP40" s="23" t="e">
        <f>IF(SUMPRODUCT($J$67:AO$67,$J40:AO40)&lt;0.5, "Pending", IF(AO40&lt;0.5, "Complete", "In Progress"))</f>
        <v>#REF!</v>
      </c>
      <c r="AQ40" s="22">
        <v>0</v>
      </c>
      <c r="AR40" s="22" t="e">
        <f t="shared" si="52"/>
        <v>#REF!</v>
      </c>
      <c r="AS40" s="23" t="e">
        <f>IF(SUMPRODUCT($J$67:AR$67,$J40:AR40)&lt;0.5, "Pending", IF(AR40&lt;0.5, "Complete", "In Progress"))</f>
        <v>#REF!</v>
      </c>
      <c r="AT40" s="22">
        <v>0</v>
      </c>
      <c r="AU40" s="22" t="e">
        <f t="shared" si="53"/>
        <v>#REF!</v>
      </c>
      <c r="AV40" s="23" t="e">
        <f>IF(SUMPRODUCT($J$67:AU$67,$J40:AU40)&lt;0.5, "Pending", IF(AU40&lt;0.5, "Complete", "In Progress"))</f>
        <v>#REF!</v>
      </c>
      <c r="AW40" s="22">
        <v>0</v>
      </c>
      <c r="AX40" s="22" t="e">
        <f t="shared" si="54"/>
        <v>#REF!</v>
      </c>
      <c r="AY40" s="23" t="e">
        <f>IF(SUMPRODUCT($J$67:AX$67,$J40:AX40)&lt;0.5, "Pending", IF(AX40&lt;0.5, "Complete", "In Progress"))</f>
        <v>#REF!</v>
      </c>
      <c r="AZ40" s="22">
        <v>0</v>
      </c>
      <c r="BA40" s="22" t="e">
        <f t="shared" si="55"/>
        <v>#REF!</v>
      </c>
      <c r="BB40" s="23" t="e">
        <f>IF(SUMPRODUCT($J$67:BA$67,$J40:BA40)&lt;0.5, "Pending", IF(BA40&lt;0.5, "Complete", "In Progress"))</f>
        <v>#REF!</v>
      </c>
      <c r="BC40" s="24"/>
      <c r="BD40" s="25">
        <f>SUMPRODUCT($H$67:X$67,$H40:X40)</f>
        <v>0</v>
      </c>
    </row>
    <row r="41" spans="1:56" x14ac:dyDescent="0.2">
      <c r="A41" s="16"/>
      <c r="B41" s="16"/>
      <c r="C41" s="16"/>
      <c r="D41" s="17"/>
      <c r="E41" s="88"/>
      <c r="F41" s="18" t="s">
        <v>76</v>
      </c>
      <c r="G41" s="19" t="e">
        <f t="shared" ca="1" si="56"/>
        <v>#REF!</v>
      </c>
      <c r="H41" s="20">
        <v>1</v>
      </c>
      <c r="I41" s="21">
        <v>0</v>
      </c>
      <c r="J41" s="22">
        <v>0</v>
      </c>
      <c r="K41" s="22">
        <f t="shared" si="42"/>
        <v>0</v>
      </c>
      <c r="L41" s="23" t="str">
        <f>IF(SUMPRODUCT($J$67:K$67,$J41:K41)&lt;0.5, "Pending", IF(K41&lt;0.5, "Complete", "In Progress"))</f>
        <v>Pending</v>
      </c>
      <c r="M41" s="22">
        <v>0</v>
      </c>
      <c r="N41" s="22">
        <f t="shared" si="43"/>
        <v>0</v>
      </c>
      <c r="O41" s="23" t="str">
        <f>IF(SUMPRODUCT($J$67:N$67,$J41:N41)&lt;0.5, "Pending", IF(N41&lt;0.5, "Complete", "In Progress"))</f>
        <v>Pending</v>
      </c>
      <c r="P41" s="22">
        <v>0</v>
      </c>
      <c r="Q41" s="22">
        <f t="shared" si="44"/>
        <v>0</v>
      </c>
      <c r="R41" s="23" t="str">
        <f>IF(SUMPRODUCT($J$67:Q$67,$J41:Q41)&lt;0.5, "Pending", IF(Q41&lt;0.5, "Complete", "In Progress"))</f>
        <v>Pending</v>
      </c>
      <c r="S41" s="22">
        <v>0</v>
      </c>
      <c r="T41" s="22">
        <f t="shared" si="45"/>
        <v>0</v>
      </c>
      <c r="U41" s="23" t="str">
        <f>IF(SUMPRODUCT($J$67:T$67,$J41:T41)&lt;0.5, "Pending", IF(T41&lt;0.5, "Complete", "In Progress"))</f>
        <v>Pending</v>
      </c>
      <c r="V41" s="22">
        <v>0</v>
      </c>
      <c r="W41" s="22">
        <f t="shared" si="46"/>
        <v>0</v>
      </c>
      <c r="X41" s="23" t="str">
        <f>IF(SUMPRODUCT($J$67:W$67,$J41:W41)&lt;0.5, "Pending", IF(W41&lt;0.5, "Complete", "In Progress"))</f>
        <v>Pending</v>
      </c>
      <c r="Y41" s="22">
        <v>0</v>
      </c>
      <c r="Z41" s="22" t="e">
        <f>MAX(#REF!-Y41,0)</f>
        <v>#REF!</v>
      </c>
      <c r="AA41" s="23" t="e">
        <f>IF(SUMPRODUCT($J$67:Z$67,$J41:Z41)&lt;0.5, "Pending", IF(Z41&lt;0.5, "Complete", "In Progress"))</f>
        <v>#REF!</v>
      </c>
      <c r="AB41" s="22">
        <v>0</v>
      </c>
      <c r="AC41" s="22" t="e">
        <f t="shared" si="47"/>
        <v>#REF!</v>
      </c>
      <c r="AD41" s="23" t="e">
        <f>IF(SUMPRODUCT($J$67:AC$67,$J41:AC41)&lt;0.5, "Pending", IF(AC41&lt;0.5, "Complete", "In Progress"))</f>
        <v>#REF!</v>
      </c>
      <c r="AE41" s="22">
        <v>0</v>
      </c>
      <c r="AF41" s="22" t="e">
        <f t="shared" si="48"/>
        <v>#REF!</v>
      </c>
      <c r="AG41" s="23" t="e">
        <f>IF(SUMPRODUCT($J$67:AF$67,$J41:AF41)&lt;0.5, "Pending", IF(AF41&lt;0.5, "Complete", "In Progress"))</f>
        <v>#REF!</v>
      </c>
      <c r="AH41" s="22">
        <v>0</v>
      </c>
      <c r="AI41" s="22" t="e">
        <f t="shared" si="49"/>
        <v>#REF!</v>
      </c>
      <c r="AJ41" s="23" t="e">
        <f>IF(SUMPRODUCT($J$67:AI$67,$J41:AI41)&lt;0.5, "Pending", IF(AI41&lt;0.5, "Complete", "In Progress"))</f>
        <v>#REF!</v>
      </c>
      <c r="AK41" s="22">
        <v>0</v>
      </c>
      <c r="AL41" s="22" t="e">
        <f t="shared" si="50"/>
        <v>#REF!</v>
      </c>
      <c r="AM41" s="23" t="e">
        <f>IF(SUMPRODUCT($J$67:AL$67,$J41:AL41)&lt;0.5, "Pending", IF(AL41&lt;0.5, "Complete", "In Progress"))</f>
        <v>#REF!</v>
      </c>
      <c r="AN41" s="22">
        <v>0</v>
      </c>
      <c r="AO41" s="22" t="e">
        <f t="shared" si="51"/>
        <v>#REF!</v>
      </c>
      <c r="AP41" s="23" t="e">
        <f>IF(SUMPRODUCT($J$67:AO$67,$J41:AO41)&lt;0.5, "Pending", IF(AO41&lt;0.5, "Complete", "In Progress"))</f>
        <v>#REF!</v>
      </c>
      <c r="AQ41" s="22">
        <v>0</v>
      </c>
      <c r="AR41" s="22" t="e">
        <f t="shared" si="52"/>
        <v>#REF!</v>
      </c>
      <c r="AS41" s="23" t="e">
        <f>IF(SUMPRODUCT($J$67:AR$67,$J41:AR41)&lt;0.5, "Pending", IF(AR41&lt;0.5, "Complete", "In Progress"))</f>
        <v>#REF!</v>
      </c>
      <c r="AT41" s="22">
        <v>0</v>
      </c>
      <c r="AU41" s="22" t="e">
        <f t="shared" si="53"/>
        <v>#REF!</v>
      </c>
      <c r="AV41" s="23" t="e">
        <f>IF(SUMPRODUCT($J$67:AU$67,$J41:AU41)&lt;0.5, "Pending", IF(AU41&lt;0.5, "Complete", "In Progress"))</f>
        <v>#REF!</v>
      </c>
      <c r="AW41" s="22">
        <v>0</v>
      </c>
      <c r="AX41" s="22" t="e">
        <f t="shared" si="54"/>
        <v>#REF!</v>
      </c>
      <c r="AY41" s="23" t="e">
        <f>IF(SUMPRODUCT($J$67:AX$67,$J41:AX41)&lt;0.5, "Pending", IF(AX41&lt;0.5, "Complete", "In Progress"))</f>
        <v>#REF!</v>
      </c>
      <c r="AZ41" s="22">
        <v>0</v>
      </c>
      <c r="BA41" s="22" t="e">
        <f t="shared" si="55"/>
        <v>#REF!</v>
      </c>
      <c r="BB41" s="23" t="e">
        <f>IF(SUMPRODUCT($J$67:BA$67,$J41:BA41)&lt;0.5, "Pending", IF(BA41&lt;0.5, "Complete", "In Progress"))</f>
        <v>#REF!</v>
      </c>
      <c r="BC41" s="24"/>
      <c r="BD41" s="25">
        <f>SUMPRODUCT($H$67:X$67,$H41:X41)</f>
        <v>0</v>
      </c>
    </row>
    <row r="42" spans="1:56" x14ac:dyDescent="0.2">
      <c r="A42" s="16"/>
      <c r="B42" s="16"/>
      <c r="C42" s="16"/>
      <c r="D42" s="17"/>
      <c r="E42" s="88"/>
      <c r="F42" s="18" t="s">
        <v>76</v>
      </c>
      <c r="G42" s="19" t="e">
        <f t="shared" ca="1" si="56"/>
        <v>#REF!</v>
      </c>
      <c r="H42" s="20">
        <v>1</v>
      </c>
      <c r="I42" s="21">
        <v>0</v>
      </c>
      <c r="J42" s="22">
        <v>0</v>
      </c>
      <c r="K42" s="22">
        <f t="shared" si="42"/>
        <v>0</v>
      </c>
      <c r="L42" s="23" t="str">
        <f>IF(SUMPRODUCT($J$67:K$67,$J42:K42)&lt;0.5, "Pending", IF(K42&lt;0.5, "Complete", "In Progress"))</f>
        <v>Pending</v>
      </c>
      <c r="M42" s="22">
        <v>0</v>
      </c>
      <c r="N42" s="22">
        <f t="shared" si="43"/>
        <v>0</v>
      </c>
      <c r="O42" s="23" t="str">
        <f>IF(SUMPRODUCT($J$67:N$67,$J42:N42)&lt;0.5, "Pending", IF(N42&lt;0.5, "Complete", "In Progress"))</f>
        <v>Pending</v>
      </c>
      <c r="P42" s="22">
        <v>0</v>
      </c>
      <c r="Q42" s="22">
        <f t="shared" si="44"/>
        <v>0</v>
      </c>
      <c r="R42" s="23" t="str">
        <f>IF(SUMPRODUCT($J$67:Q$67,$J42:Q42)&lt;0.5, "Pending", IF(Q42&lt;0.5, "Complete", "In Progress"))</f>
        <v>Pending</v>
      </c>
      <c r="S42" s="22">
        <v>0</v>
      </c>
      <c r="T42" s="22">
        <f t="shared" si="45"/>
        <v>0</v>
      </c>
      <c r="U42" s="23" t="str">
        <f>IF(SUMPRODUCT($J$67:T$67,$J42:T42)&lt;0.5, "Pending", IF(T42&lt;0.5, "Complete", "In Progress"))</f>
        <v>Pending</v>
      </c>
      <c r="V42" s="22">
        <v>0</v>
      </c>
      <c r="W42" s="22">
        <f t="shared" si="46"/>
        <v>0</v>
      </c>
      <c r="X42" s="23" t="str">
        <f>IF(SUMPRODUCT($J$67:W$67,$J42:W42)&lt;0.5, "Pending", IF(W42&lt;0.5, "Complete", "In Progress"))</f>
        <v>Pending</v>
      </c>
      <c r="Y42" s="22">
        <v>0</v>
      </c>
      <c r="Z42" s="22" t="e">
        <f>MAX(#REF!-Y42,0)</f>
        <v>#REF!</v>
      </c>
      <c r="AA42" s="23" t="e">
        <f>IF(SUMPRODUCT($J$67:Z$67,$J42:Z42)&lt;0.5, "Pending", IF(Z42&lt;0.5, "Complete", "In Progress"))</f>
        <v>#REF!</v>
      </c>
      <c r="AB42" s="22">
        <v>0</v>
      </c>
      <c r="AC42" s="22" t="e">
        <f t="shared" si="47"/>
        <v>#REF!</v>
      </c>
      <c r="AD42" s="23" t="e">
        <f>IF(SUMPRODUCT($J$67:AC$67,$J42:AC42)&lt;0.5, "Pending", IF(AC42&lt;0.5, "Complete", "In Progress"))</f>
        <v>#REF!</v>
      </c>
      <c r="AE42" s="22">
        <v>0</v>
      </c>
      <c r="AF42" s="22" t="e">
        <f t="shared" si="48"/>
        <v>#REF!</v>
      </c>
      <c r="AG42" s="23" t="e">
        <f>IF(SUMPRODUCT($J$67:AF$67,$J42:AF42)&lt;0.5, "Pending", IF(AF42&lt;0.5, "Complete", "In Progress"))</f>
        <v>#REF!</v>
      </c>
      <c r="AH42" s="22">
        <v>0</v>
      </c>
      <c r="AI42" s="22" t="e">
        <f t="shared" si="49"/>
        <v>#REF!</v>
      </c>
      <c r="AJ42" s="23" t="e">
        <f>IF(SUMPRODUCT($J$67:AI$67,$J42:AI42)&lt;0.5, "Pending", IF(AI42&lt;0.5, "Complete", "In Progress"))</f>
        <v>#REF!</v>
      </c>
      <c r="AK42" s="22">
        <v>0</v>
      </c>
      <c r="AL42" s="22" t="e">
        <f t="shared" si="50"/>
        <v>#REF!</v>
      </c>
      <c r="AM42" s="23" t="e">
        <f>IF(SUMPRODUCT($J$67:AL$67,$J42:AL42)&lt;0.5, "Pending", IF(AL42&lt;0.5, "Complete", "In Progress"))</f>
        <v>#REF!</v>
      </c>
      <c r="AN42" s="22">
        <v>0</v>
      </c>
      <c r="AO42" s="22" t="e">
        <f t="shared" si="51"/>
        <v>#REF!</v>
      </c>
      <c r="AP42" s="23" t="e">
        <f>IF(SUMPRODUCT($J$67:AO$67,$J42:AO42)&lt;0.5, "Pending", IF(AO42&lt;0.5, "Complete", "In Progress"))</f>
        <v>#REF!</v>
      </c>
      <c r="AQ42" s="22">
        <v>0</v>
      </c>
      <c r="AR42" s="22" t="e">
        <f t="shared" si="52"/>
        <v>#REF!</v>
      </c>
      <c r="AS42" s="23" t="e">
        <f>IF(SUMPRODUCT($J$67:AR$67,$J42:AR42)&lt;0.5, "Pending", IF(AR42&lt;0.5, "Complete", "In Progress"))</f>
        <v>#REF!</v>
      </c>
      <c r="AT42" s="22">
        <v>0</v>
      </c>
      <c r="AU42" s="22" t="e">
        <f t="shared" si="53"/>
        <v>#REF!</v>
      </c>
      <c r="AV42" s="23" t="e">
        <f>IF(SUMPRODUCT($J$67:AU$67,$J42:AU42)&lt;0.5, "Pending", IF(AU42&lt;0.5, "Complete", "In Progress"))</f>
        <v>#REF!</v>
      </c>
      <c r="AW42" s="22">
        <v>0</v>
      </c>
      <c r="AX42" s="22" t="e">
        <f t="shared" si="54"/>
        <v>#REF!</v>
      </c>
      <c r="AY42" s="23" t="e">
        <f>IF(SUMPRODUCT($J$67:AX$67,$J42:AX42)&lt;0.5, "Pending", IF(AX42&lt;0.5, "Complete", "In Progress"))</f>
        <v>#REF!</v>
      </c>
      <c r="AZ42" s="22">
        <v>0</v>
      </c>
      <c r="BA42" s="22" t="e">
        <f t="shared" si="55"/>
        <v>#REF!</v>
      </c>
      <c r="BB42" s="23" t="e">
        <f>IF(SUMPRODUCT($J$67:BA$67,$J42:BA42)&lt;0.5, "Pending", IF(BA42&lt;0.5, "Complete", "In Progress"))</f>
        <v>#REF!</v>
      </c>
      <c r="BC42" s="24"/>
      <c r="BD42" s="25">
        <f>SUMPRODUCT($H$67:X$67,$H42:X42)</f>
        <v>0</v>
      </c>
    </row>
    <row r="43" spans="1:56" x14ac:dyDescent="0.2">
      <c r="A43" s="16"/>
      <c r="B43" s="16"/>
      <c r="C43" s="16"/>
      <c r="D43" s="17"/>
      <c r="E43" s="88"/>
      <c r="F43" s="18" t="s">
        <v>76</v>
      </c>
      <c r="G43" s="19" t="e">
        <f t="shared" ca="1" si="56"/>
        <v>#REF!</v>
      </c>
      <c r="H43" s="20">
        <v>1</v>
      </c>
      <c r="I43" s="21">
        <v>0</v>
      </c>
      <c r="J43" s="22">
        <v>0</v>
      </c>
      <c r="K43" s="22">
        <f t="shared" si="42"/>
        <v>0</v>
      </c>
      <c r="L43" s="23" t="str">
        <f>IF(SUMPRODUCT($J$67:K$67,$J43:K43)&lt;0.5, "Pending", IF(K43&lt;0.5, "Complete", "In Progress"))</f>
        <v>Pending</v>
      </c>
      <c r="M43" s="22">
        <v>0</v>
      </c>
      <c r="N43" s="22">
        <f t="shared" si="43"/>
        <v>0</v>
      </c>
      <c r="O43" s="23" t="str">
        <f>IF(SUMPRODUCT($J$67:N$67,$J43:N43)&lt;0.5, "Pending", IF(N43&lt;0.5, "Complete", "In Progress"))</f>
        <v>Pending</v>
      </c>
      <c r="P43" s="22">
        <v>0</v>
      </c>
      <c r="Q43" s="22">
        <f t="shared" si="44"/>
        <v>0</v>
      </c>
      <c r="R43" s="23" t="str">
        <f>IF(SUMPRODUCT($J$67:Q$67,$J43:Q43)&lt;0.5, "Pending", IF(Q43&lt;0.5, "Complete", "In Progress"))</f>
        <v>Pending</v>
      </c>
      <c r="S43" s="22">
        <v>0</v>
      </c>
      <c r="T43" s="22">
        <f t="shared" si="45"/>
        <v>0</v>
      </c>
      <c r="U43" s="23" t="str">
        <f>IF(SUMPRODUCT($J$67:T$67,$J43:T43)&lt;0.5, "Pending", IF(T43&lt;0.5, "Complete", "In Progress"))</f>
        <v>Pending</v>
      </c>
      <c r="V43" s="22">
        <v>0</v>
      </c>
      <c r="W43" s="22">
        <f t="shared" si="46"/>
        <v>0</v>
      </c>
      <c r="X43" s="23" t="str">
        <f>IF(SUMPRODUCT($J$67:W$67,$J43:W43)&lt;0.5, "Pending", IF(W43&lt;0.5, "Complete", "In Progress"))</f>
        <v>Pending</v>
      </c>
      <c r="Y43" s="22">
        <v>0</v>
      </c>
      <c r="Z43" s="22" t="e">
        <f>MAX(#REF!-Y43,0)</f>
        <v>#REF!</v>
      </c>
      <c r="AA43" s="23" t="e">
        <f>IF(SUMPRODUCT($J$67:Z$67,$J43:Z43)&lt;0.5, "Pending", IF(Z43&lt;0.5, "Complete", "In Progress"))</f>
        <v>#REF!</v>
      </c>
      <c r="AB43" s="22">
        <v>0</v>
      </c>
      <c r="AC43" s="22" t="e">
        <f t="shared" si="47"/>
        <v>#REF!</v>
      </c>
      <c r="AD43" s="23" t="e">
        <f>IF(SUMPRODUCT($J$67:AC$67,$J43:AC43)&lt;0.5, "Pending", IF(AC43&lt;0.5, "Complete", "In Progress"))</f>
        <v>#REF!</v>
      </c>
      <c r="AE43" s="22">
        <v>0</v>
      </c>
      <c r="AF43" s="22" t="e">
        <f t="shared" si="48"/>
        <v>#REF!</v>
      </c>
      <c r="AG43" s="23" t="e">
        <f>IF(SUMPRODUCT($J$67:AF$67,$J43:AF43)&lt;0.5, "Pending", IF(AF43&lt;0.5, "Complete", "In Progress"))</f>
        <v>#REF!</v>
      </c>
      <c r="AH43" s="22">
        <v>0</v>
      </c>
      <c r="AI43" s="22" t="e">
        <f t="shared" si="49"/>
        <v>#REF!</v>
      </c>
      <c r="AJ43" s="23" t="e">
        <f>IF(SUMPRODUCT($J$67:AI$67,$J43:AI43)&lt;0.5, "Pending", IF(AI43&lt;0.5, "Complete", "In Progress"))</f>
        <v>#REF!</v>
      </c>
      <c r="AK43" s="22">
        <v>0</v>
      </c>
      <c r="AL43" s="22" t="e">
        <f t="shared" si="50"/>
        <v>#REF!</v>
      </c>
      <c r="AM43" s="23" t="e">
        <f>IF(SUMPRODUCT($J$67:AL$67,$J43:AL43)&lt;0.5, "Pending", IF(AL43&lt;0.5, "Complete", "In Progress"))</f>
        <v>#REF!</v>
      </c>
      <c r="AN43" s="22">
        <v>0</v>
      </c>
      <c r="AO43" s="22" t="e">
        <f t="shared" si="51"/>
        <v>#REF!</v>
      </c>
      <c r="AP43" s="23" t="e">
        <f>IF(SUMPRODUCT($J$67:AO$67,$J43:AO43)&lt;0.5, "Pending", IF(AO43&lt;0.5, "Complete", "In Progress"))</f>
        <v>#REF!</v>
      </c>
      <c r="AQ43" s="22">
        <v>0</v>
      </c>
      <c r="AR43" s="22" t="e">
        <f t="shared" si="52"/>
        <v>#REF!</v>
      </c>
      <c r="AS43" s="23" t="e">
        <f>IF(SUMPRODUCT($J$67:AR$67,$J43:AR43)&lt;0.5, "Pending", IF(AR43&lt;0.5, "Complete", "In Progress"))</f>
        <v>#REF!</v>
      </c>
      <c r="AT43" s="22">
        <v>0</v>
      </c>
      <c r="AU43" s="22" t="e">
        <f t="shared" si="53"/>
        <v>#REF!</v>
      </c>
      <c r="AV43" s="23" t="e">
        <f>IF(SUMPRODUCT($J$67:AU$67,$J43:AU43)&lt;0.5, "Pending", IF(AU43&lt;0.5, "Complete", "In Progress"))</f>
        <v>#REF!</v>
      </c>
      <c r="AW43" s="22">
        <v>0</v>
      </c>
      <c r="AX43" s="22" t="e">
        <f t="shared" si="54"/>
        <v>#REF!</v>
      </c>
      <c r="AY43" s="23" t="e">
        <f>IF(SUMPRODUCT($J$67:AX$67,$J43:AX43)&lt;0.5, "Pending", IF(AX43&lt;0.5, "Complete", "In Progress"))</f>
        <v>#REF!</v>
      </c>
      <c r="AZ43" s="22">
        <v>0</v>
      </c>
      <c r="BA43" s="22" t="e">
        <f t="shared" si="55"/>
        <v>#REF!</v>
      </c>
      <c r="BB43" s="23" t="e">
        <f>IF(SUMPRODUCT($J$67:BA$67,$J43:BA43)&lt;0.5, "Pending", IF(BA43&lt;0.5, "Complete", "In Progress"))</f>
        <v>#REF!</v>
      </c>
      <c r="BC43" s="24"/>
      <c r="BD43" s="25">
        <f>SUMPRODUCT($H$67:X$67,$H43:X43)</f>
        <v>0</v>
      </c>
    </row>
    <row r="44" spans="1:56" x14ac:dyDescent="0.2">
      <c r="A44" s="16"/>
      <c r="B44" s="16"/>
      <c r="C44" s="16"/>
      <c r="D44" s="17"/>
      <c r="E44" s="88"/>
      <c r="F44" s="18" t="s">
        <v>76</v>
      </c>
      <c r="G44" s="19" t="e">
        <f t="shared" ca="1" si="56"/>
        <v>#REF!</v>
      </c>
      <c r="H44" s="20">
        <v>1</v>
      </c>
      <c r="I44" s="21">
        <v>0</v>
      </c>
      <c r="J44" s="22">
        <v>0</v>
      </c>
      <c r="K44" s="22">
        <f t="shared" si="42"/>
        <v>0</v>
      </c>
      <c r="L44" s="23" t="str">
        <f>IF(SUMPRODUCT($J$67:K$67,$J44:K44)&lt;0.5, "Pending", IF(K44&lt;0.5, "Complete", "In Progress"))</f>
        <v>Pending</v>
      </c>
      <c r="M44" s="22">
        <v>0</v>
      </c>
      <c r="N44" s="22">
        <f t="shared" si="43"/>
        <v>0</v>
      </c>
      <c r="O44" s="23" t="str">
        <f>IF(SUMPRODUCT($J$67:N$67,$J44:N44)&lt;0.5, "Pending", IF(N44&lt;0.5, "Complete", "In Progress"))</f>
        <v>Pending</v>
      </c>
      <c r="P44" s="22">
        <v>0</v>
      </c>
      <c r="Q44" s="22">
        <f t="shared" si="44"/>
        <v>0</v>
      </c>
      <c r="R44" s="23" t="str">
        <f>IF(SUMPRODUCT($J$67:Q$67,$J44:Q44)&lt;0.5, "Pending", IF(Q44&lt;0.5, "Complete", "In Progress"))</f>
        <v>Pending</v>
      </c>
      <c r="S44" s="22">
        <v>0</v>
      </c>
      <c r="T44" s="22">
        <f t="shared" si="45"/>
        <v>0</v>
      </c>
      <c r="U44" s="23" t="str">
        <f>IF(SUMPRODUCT($J$67:T$67,$J44:T44)&lt;0.5, "Pending", IF(T44&lt;0.5, "Complete", "In Progress"))</f>
        <v>Pending</v>
      </c>
      <c r="V44" s="22">
        <v>0</v>
      </c>
      <c r="W44" s="22">
        <f t="shared" si="46"/>
        <v>0</v>
      </c>
      <c r="X44" s="23" t="str">
        <f>IF(SUMPRODUCT($J$67:W$67,$J44:W44)&lt;0.5, "Pending", IF(W44&lt;0.5, "Complete", "In Progress"))</f>
        <v>Pending</v>
      </c>
      <c r="Y44" s="22">
        <v>0</v>
      </c>
      <c r="Z44" s="22" t="e">
        <f>MAX(#REF!-Y44,0)</f>
        <v>#REF!</v>
      </c>
      <c r="AA44" s="23" t="e">
        <f>IF(SUMPRODUCT($J$67:Z$67,$J44:Z44)&lt;0.5, "Pending", IF(Z44&lt;0.5, "Complete", "In Progress"))</f>
        <v>#REF!</v>
      </c>
      <c r="AB44" s="22">
        <v>0</v>
      </c>
      <c r="AC44" s="22" t="e">
        <f t="shared" si="47"/>
        <v>#REF!</v>
      </c>
      <c r="AD44" s="23" t="e">
        <f>IF(SUMPRODUCT($J$67:AC$67,$J44:AC44)&lt;0.5, "Pending", IF(AC44&lt;0.5, "Complete", "In Progress"))</f>
        <v>#REF!</v>
      </c>
      <c r="AE44" s="22">
        <v>0</v>
      </c>
      <c r="AF44" s="22" t="e">
        <f t="shared" si="48"/>
        <v>#REF!</v>
      </c>
      <c r="AG44" s="23" t="e">
        <f>IF(SUMPRODUCT($J$67:AF$67,$J44:AF44)&lt;0.5, "Pending", IF(AF44&lt;0.5, "Complete", "In Progress"))</f>
        <v>#REF!</v>
      </c>
      <c r="AH44" s="22">
        <v>0</v>
      </c>
      <c r="AI44" s="22" t="e">
        <f t="shared" si="49"/>
        <v>#REF!</v>
      </c>
      <c r="AJ44" s="23" t="e">
        <f>IF(SUMPRODUCT($J$67:AI$67,$J44:AI44)&lt;0.5, "Pending", IF(AI44&lt;0.5, "Complete", "In Progress"))</f>
        <v>#REF!</v>
      </c>
      <c r="AK44" s="22">
        <v>0</v>
      </c>
      <c r="AL44" s="22" t="e">
        <f t="shared" si="50"/>
        <v>#REF!</v>
      </c>
      <c r="AM44" s="23" t="e">
        <f>IF(SUMPRODUCT($J$67:AL$67,$J44:AL44)&lt;0.5, "Pending", IF(AL44&lt;0.5, "Complete", "In Progress"))</f>
        <v>#REF!</v>
      </c>
      <c r="AN44" s="22">
        <v>0</v>
      </c>
      <c r="AO44" s="22" t="e">
        <f t="shared" si="51"/>
        <v>#REF!</v>
      </c>
      <c r="AP44" s="23" t="e">
        <f>IF(SUMPRODUCT($J$67:AO$67,$J44:AO44)&lt;0.5, "Pending", IF(AO44&lt;0.5, "Complete", "In Progress"))</f>
        <v>#REF!</v>
      </c>
      <c r="AQ44" s="22">
        <v>0</v>
      </c>
      <c r="AR44" s="22" t="e">
        <f t="shared" si="52"/>
        <v>#REF!</v>
      </c>
      <c r="AS44" s="23" t="e">
        <f>IF(SUMPRODUCT($J$67:AR$67,$J44:AR44)&lt;0.5, "Pending", IF(AR44&lt;0.5, "Complete", "In Progress"))</f>
        <v>#REF!</v>
      </c>
      <c r="AT44" s="22">
        <v>0</v>
      </c>
      <c r="AU44" s="22" t="e">
        <f t="shared" si="53"/>
        <v>#REF!</v>
      </c>
      <c r="AV44" s="23" t="e">
        <f>IF(SUMPRODUCT($J$67:AU$67,$J44:AU44)&lt;0.5, "Pending", IF(AU44&lt;0.5, "Complete", "In Progress"))</f>
        <v>#REF!</v>
      </c>
      <c r="AW44" s="22">
        <v>0</v>
      </c>
      <c r="AX44" s="22" t="e">
        <f t="shared" si="54"/>
        <v>#REF!</v>
      </c>
      <c r="AY44" s="23" t="e">
        <f>IF(SUMPRODUCT($J$67:AX$67,$J44:AX44)&lt;0.5, "Pending", IF(AX44&lt;0.5, "Complete", "In Progress"))</f>
        <v>#REF!</v>
      </c>
      <c r="AZ44" s="22">
        <v>0</v>
      </c>
      <c r="BA44" s="22" t="e">
        <f t="shared" si="55"/>
        <v>#REF!</v>
      </c>
      <c r="BB44" s="23" t="e">
        <f>IF(SUMPRODUCT($J$67:BA$67,$J44:BA44)&lt;0.5, "Pending", IF(BA44&lt;0.5, "Complete", "In Progress"))</f>
        <v>#REF!</v>
      </c>
      <c r="BC44" s="24"/>
      <c r="BD44" s="25">
        <f>SUMPRODUCT($H$67:X$67,$H44:X44)</f>
        <v>0</v>
      </c>
    </row>
    <row r="45" spans="1:56" x14ac:dyDescent="0.2">
      <c r="A45" s="16"/>
      <c r="B45" s="16"/>
      <c r="C45" s="16"/>
      <c r="D45" s="17"/>
      <c r="E45" s="88"/>
      <c r="F45" s="18" t="s">
        <v>76</v>
      </c>
      <c r="G45" s="19" t="e">
        <f t="shared" ca="1" si="56"/>
        <v>#REF!</v>
      </c>
      <c r="H45" s="20">
        <v>1</v>
      </c>
      <c r="I45" s="21">
        <v>0</v>
      </c>
      <c r="J45" s="22">
        <v>0</v>
      </c>
      <c r="K45" s="22">
        <f t="shared" si="42"/>
        <v>0</v>
      </c>
      <c r="L45" s="23" t="str">
        <f>IF(SUMPRODUCT($J$67:K$67,$J45:K45)&lt;0.5, "Pending", IF(K45&lt;0.5, "Complete", "In Progress"))</f>
        <v>Pending</v>
      </c>
      <c r="M45" s="22">
        <v>0</v>
      </c>
      <c r="N45" s="22">
        <f t="shared" si="43"/>
        <v>0</v>
      </c>
      <c r="O45" s="23" t="str">
        <f>IF(SUMPRODUCT($J$67:N$67,$J45:N45)&lt;0.5, "Pending", IF(N45&lt;0.5, "Complete", "In Progress"))</f>
        <v>Pending</v>
      </c>
      <c r="P45" s="22">
        <v>0</v>
      </c>
      <c r="Q45" s="22">
        <f t="shared" si="44"/>
        <v>0</v>
      </c>
      <c r="R45" s="23" t="str">
        <f>IF(SUMPRODUCT($J$67:Q$67,$J45:Q45)&lt;0.5, "Pending", IF(Q45&lt;0.5, "Complete", "In Progress"))</f>
        <v>Pending</v>
      </c>
      <c r="S45" s="22">
        <v>0</v>
      </c>
      <c r="T45" s="22">
        <f t="shared" si="45"/>
        <v>0</v>
      </c>
      <c r="U45" s="23" t="str">
        <f>IF(SUMPRODUCT($J$67:T$67,$J45:T45)&lt;0.5, "Pending", IF(T45&lt;0.5, "Complete", "In Progress"))</f>
        <v>Pending</v>
      </c>
      <c r="V45" s="22">
        <v>0</v>
      </c>
      <c r="W45" s="22">
        <f t="shared" si="46"/>
        <v>0</v>
      </c>
      <c r="X45" s="23" t="str">
        <f>IF(SUMPRODUCT($J$67:W$67,$J45:W45)&lt;0.5, "Pending", IF(W45&lt;0.5, "Complete", "In Progress"))</f>
        <v>Pending</v>
      </c>
      <c r="Y45" s="22">
        <v>0</v>
      </c>
      <c r="Z45" s="22" t="e">
        <f>MAX(#REF!-Y45,0)</f>
        <v>#REF!</v>
      </c>
      <c r="AA45" s="23" t="e">
        <f>IF(SUMPRODUCT($J$67:Z$67,$J45:Z45)&lt;0.5, "Pending", IF(Z45&lt;0.5, "Complete", "In Progress"))</f>
        <v>#REF!</v>
      </c>
      <c r="AB45" s="22">
        <v>0</v>
      </c>
      <c r="AC45" s="22" t="e">
        <f t="shared" si="47"/>
        <v>#REF!</v>
      </c>
      <c r="AD45" s="23" t="e">
        <f>IF(SUMPRODUCT($J$67:AC$67,$J45:AC45)&lt;0.5, "Pending", IF(AC45&lt;0.5, "Complete", "In Progress"))</f>
        <v>#REF!</v>
      </c>
      <c r="AE45" s="22">
        <v>0</v>
      </c>
      <c r="AF45" s="22" t="e">
        <f t="shared" si="48"/>
        <v>#REF!</v>
      </c>
      <c r="AG45" s="23" t="e">
        <f>IF(SUMPRODUCT($J$67:AF$67,$J45:AF45)&lt;0.5, "Pending", IF(AF45&lt;0.5, "Complete", "In Progress"))</f>
        <v>#REF!</v>
      </c>
      <c r="AH45" s="22">
        <v>0</v>
      </c>
      <c r="AI45" s="22" t="e">
        <f t="shared" si="49"/>
        <v>#REF!</v>
      </c>
      <c r="AJ45" s="23" t="e">
        <f>IF(SUMPRODUCT($J$67:AI$67,$J45:AI45)&lt;0.5, "Pending", IF(AI45&lt;0.5, "Complete", "In Progress"))</f>
        <v>#REF!</v>
      </c>
      <c r="AK45" s="22">
        <v>0</v>
      </c>
      <c r="AL45" s="22" t="e">
        <f t="shared" si="50"/>
        <v>#REF!</v>
      </c>
      <c r="AM45" s="23" t="e">
        <f>IF(SUMPRODUCT($J$67:AL$67,$J45:AL45)&lt;0.5, "Pending", IF(AL45&lt;0.5, "Complete", "In Progress"))</f>
        <v>#REF!</v>
      </c>
      <c r="AN45" s="22">
        <v>0</v>
      </c>
      <c r="AO45" s="22" t="e">
        <f t="shared" si="51"/>
        <v>#REF!</v>
      </c>
      <c r="AP45" s="23" t="e">
        <f>IF(SUMPRODUCT($J$67:AO$67,$J45:AO45)&lt;0.5, "Pending", IF(AO45&lt;0.5, "Complete", "In Progress"))</f>
        <v>#REF!</v>
      </c>
      <c r="AQ45" s="22">
        <v>0</v>
      </c>
      <c r="AR45" s="22" t="e">
        <f t="shared" si="52"/>
        <v>#REF!</v>
      </c>
      <c r="AS45" s="23" t="e">
        <f>IF(SUMPRODUCT($J$67:AR$67,$J45:AR45)&lt;0.5, "Pending", IF(AR45&lt;0.5, "Complete", "In Progress"))</f>
        <v>#REF!</v>
      </c>
      <c r="AT45" s="22">
        <v>0</v>
      </c>
      <c r="AU45" s="22" t="e">
        <f t="shared" si="53"/>
        <v>#REF!</v>
      </c>
      <c r="AV45" s="23" t="e">
        <f>IF(SUMPRODUCT($J$67:AU$67,$J45:AU45)&lt;0.5, "Pending", IF(AU45&lt;0.5, "Complete", "In Progress"))</f>
        <v>#REF!</v>
      </c>
      <c r="AW45" s="22">
        <v>0</v>
      </c>
      <c r="AX45" s="22" t="e">
        <f t="shared" si="54"/>
        <v>#REF!</v>
      </c>
      <c r="AY45" s="23" t="e">
        <f>IF(SUMPRODUCT($J$67:AX$67,$J45:AX45)&lt;0.5, "Pending", IF(AX45&lt;0.5, "Complete", "In Progress"))</f>
        <v>#REF!</v>
      </c>
      <c r="AZ45" s="22">
        <v>0</v>
      </c>
      <c r="BA45" s="22" t="e">
        <f t="shared" si="55"/>
        <v>#REF!</v>
      </c>
      <c r="BB45" s="23" t="e">
        <f>IF(SUMPRODUCT($J$67:BA$67,$J45:BA45)&lt;0.5, "Pending", IF(BA45&lt;0.5, "Complete", "In Progress"))</f>
        <v>#REF!</v>
      </c>
      <c r="BC45" s="24"/>
      <c r="BD45" s="25">
        <f>SUMPRODUCT($H$67:X$67,$H45:X45)</f>
        <v>0</v>
      </c>
    </row>
    <row r="46" spans="1:56" x14ac:dyDescent="0.2">
      <c r="A46" s="16"/>
      <c r="B46" s="16"/>
      <c r="C46" s="16"/>
      <c r="D46" s="17"/>
      <c r="E46" s="88"/>
      <c r="F46" s="18" t="s">
        <v>76</v>
      </c>
      <c r="G46" s="19" t="e">
        <f t="shared" ca="1" si="56"/>
        <v>#REF!</v>
      </c>
      <c r="H46" s="20">
        <v>1</v>
      </c>
      <c r="I46" s="21">
        <v>0</v>
      </c>
      <c r="J46" s="22">
        <v>0</v>
      </c>
      <c r="K46" s="22">
        <f t="shared" si="42"/>
        <v>0</v>
      </c>
      <c r="L46" s="23" t="str">
        <f>IF(SUMPRODUCT($J$67:K$67,$J46:K46)&lt;0.5, "Pending", IF(K46&lt;0.5, "Complete", "In Progress"))</f>
        <v>Pending</v>
      </c>
      <c r="M46" s="22">
        <v>0</v>
      </c>
      <c r="N46" s="22">
        <f t="shared" si="43"/>
        <v>0</v>
      </c>
      <c r="O46" s="23" t="str">
        <f>IF(SUMPRODUCT($J$67:N$67,$J46:N46)&lt;0.5, "Pending", IF(N46&lt;0.5, "Complete", "In Progress"))</f>
        <v>Pending</v>
      </c>
      <c r="P46" s="22">
        <v>0</v>
      </c>
      <c r="Q46" s="22">
        <f t="shared" si="44"/>
        <v>0</v>
      </c>
      <c r="R46" s="23" t="str">
        <f>IF(SUMPRODUCT($J$67:Q$67,$J46:Q46)&lt;0.5, "Pending", IF(Q46&lt;0.5, "Complete", "In Progress"))</f>
        <v>Pending</v>
      </c>
      <c r="S46" s="22">
        <v>0</v>
      </c>
      <c r="T46" s="22">
        <f t="shared" si="45"/>
        <v>0</v>
      </c>
      <c r="U46" s="23" t="str">
        <f>IF(SUMPRODUCT($J$67:T$67,$J46:T46)&lt;0.5, "Pending", IF(T46&lt;0.5, "Complete", "In Progress"))</f>
        <v>Pending</v>
      </c>
      <c r="V46" s="22">
        <v>0</v>
      </c>
      <c r="W46" s="22">
        <f t="shared" si="46"/>
        <v>0</v>
      </c>
      <c r="X46" s="23" t="str">
        <f>IF(SUMPRODUCT($J$67:W$67,$J46:W46)&lt;0.5, "Pending", IF(W46&lt;0.5, "Complete", "In Progress"))</f>
        <v>Pending</v>
      </c>
      <c r="Y46" s="22">
        <v>0</v>
      </c>
      <c r="Z46" s="22" t="e">
        <f>MAX(#REF!-Y46,0)</f>
        <v>#REF!</v>
      </c>
      <c r="AA46" s="23" t="e">
        <f>IF(SUMPRODUCT($J$67:Z$67,$J46:Z46)&lt;0.5, "Pending", IF(Z46&lt;0.5, "Complete", "In Progress"))</f>
        <v>#REF!</v>
      </c>
      <c r="AB46" s="22">
        <v>0</v>
      </c>
      <c r="AC46" s="22" t="e">
        <f t="shared" si="47"/>
        <v>#REF!</v>
      </c>
      <c r="AD46" s="23" t="e">
        <f>IF(SUMPRODUCT($J$67:AC$67,$J46:AC46)&lt;0.5, "Pending", IF(AC46&lt;0.5, "Complete", "In Progress"))</f>
        <v>#REF!</v>
      </c>
      <c r="AE46" s="22">
        <v>0</v>
      </c>
      <c r="AF46" s="22" t="e">
        <f t="shared" si="48"/>
        <v>#REF!</v>
      </c>
      <c r="AG46" s="23" t="e">
        <f>IF(SUMPRODUCT($J$67:AF$67,$J46:AF46)&lt;0.5, "Pending", IF(AF46&lt;0.5, "Complete", "In Progress"))</f>
        <v>#REF!</v>
      </c>
      <c r="AH46" s="22">
        <v>0</v>
      </c>
      <c r="AI46" s="22" t="e">
        <f t="shared" si="49"/>
        <v>#REF!</v>
      </c>
      <c r="AJ46" s="23" t="e">
        <f>IF(SUMPRODUCT($J$67:AI$67,$J46:AI46)&lt;0.5, "Pending", IF(AI46&lt;0.5, "Complete", "In Progress"))</f>
        <v>#REF!</v>
      </c>
      <c r="AK46" s="22">
        <v>0</v>
      </c>
      <c r="AL46" s="22" t="e">
        <f t="shared" si="50"/>
        <v>#REF!</v>
      </c>
      <c r="AM46" s="23" t="e">
        <f>IF(SUMPRODUCT($J$67:AL$67,$J46:AL46)&lt;0.5, "Pending", IF(AL46&lt;0.5, "Complete", "In Progress"))</f>
        <v>#REF!</v>
      </c>
      <c r="AN46" s="22">
        <v>0</v>
      </c>
      <c r="AO46" s="22" t="e">
        <f t="shared" si="51"/>
        <v>#REF!</v>
      </c>
      <c r="AP46" s="23" t="e">
        <f>IF(SUMPRODUCT($J$67:AO$67,$J46:AO46)&lt;0.5, "Pending", IF(AO46&lt;0.5, "Complete", "In Progress"))</f>
        <v>#REF!</v>
      </c>
      <c r="AQ46" s="22">
        <v>0</v>
      </c>
      <c r="AR46" s="22" t="e">
        <f t="shared" si="52"/>
        <v>#REF!</v>
      </c>
      <c r="AS46" s="23" t="e">
        <f>IF(SUMPRODUCT($J$67:AR$67,$J46:AR46)&lt;0.5, "Pending", IF(AR46&lt;0.5, "Complete", "In Progress"))</f>
        <v>#REF!</v>
      </c>
      <c r="AT46" s="22">
        <v>0</v>
      </c>
      <c r="AU46" s="22" t="e">
        <f t="shared" si="53"/>
        <v>#REF!</v>
      </c>
      <c r="AV46" s="23" t="e">
        <f>IF(SUMPRODUCT($J$67:AU$67,$J46:AU46)&lt;0.5, "Pending", IF(AU46&lt;0.5, "Complete", "In Progress"))</f>
        <v>#REF!</v>
      </c>
      <c r="AW46" s="22">
        <v>0</v>
      </c>
      <c r="AX46" s="22" t="e">
        <f t="shared" si="54"/>
        <v>#REF!</v>
      </c>
      <c r="AY46" s="23" t="e">
        <f>IF(SUMPRODUCT($J$67:AX$67,$J46:AX46)&lt;0.5, "Pending", IF(AX46&lt;0.5, "Complete", "In Progress"))</f>
        <v>#REF!</v>
      </c>
      <c r="AZ46" s="22">
        <v>0</v>
      </c>
      <c r="BA46" s="22" t="e">
        <f t="shared" si="55"/>
        <v>#REF!</v>
      </c>
      <c r="BB46" s="23" t="e">
        <f>IF(SUMPRODUCT($J$67:BA$67,$J46:BA46)&lt;0.5, "Pending", IF(BA46&lt;0.5, "Complete", "In Progress"))</f>
        <v>#REF!</v>
      </c>
      <c r="BC46" s="24"/>
      <c r="BD46" s="25">
        <f>SUMPRODUCT($H$67:X$67,$H46:X46)</f>
        <v>0</v>
      </c>
    </row>
    <row r="47" spans="1:56" x14ac:dyDescent="0.2">
      <c r="A47" s="16"/>
      <c r="B47" s="16"/>
      <c r="C47" s="16"/>
      <c r="D47" s="17"/>
      <c r="E47" s="88"/>
      <c r="F47" s="18" t="s">
        <v>76</v>
      </c>
      <c r="G47" s="19" t="e">
        <f t="shared" ca="1" si="56"/>
        <v>#REF!</v>
      </c>
      <c r="H47" s="20">
        <v>1</v>
      </c>
      <c r="I47" s="21">
        <v>0</v>
      </c>
      <c r="J47" s="22">
        <v>0</v>
      </c>
      <c r="K47" s="22">
        <f t="shared" si="42"/>
        <v>0</v>
      </c>
      <c r="L47" s="23" t="str">
        <f>IF(SUMPRODUCT($J$67:K$67,$J47:K47)&lt;0.5, "Pending", IF(K47&lt;0.5, "Complete", "In Progress"))</f>
        <v>Pending</v>
      </c>
      <c r="M47" s="22">
        <v>0</v>
      </c>
      <c r="N47" s="22">
        <f t="shared" si="43"/>
        <v>0</v>
      </c>
      <c r="O47" s="23" t="str">
        <f>IF(SUMPRODUCT($J$67:N$67,$J47:N47)&lt;0.5, "Pending", IF(N47&lt;0.5, "Complete", "In Progress"))</f>
        <v>Pending</v>
      </c>
      <c r="P47" s="22">
        <v>0</v>
      </c>
      <c r="Q47" s="22">
        <f t="shared" si="44"/>
        <v>0</v>
      </c>
      <c r="R47" s="23" t="str">
        <f>IF(SUMPRODUCT($J$67:Q$67,$J47:Q47)&lt;0.5, "Pending", IF(Q47&lt;0.5, "Complete", "In Progress"))</f>
        <v>Pending</v>
      </c>
      <c r="S47" s="22">
        <v>0</v>
      </c>
      <c r="T47" s="22">
        <f t="shared" si="45"/>
        <v>0</v>
      </c>
      <c r="U47" s="23" t="str">
        <f>IF(SUMPRODUCT($J$67:T$67,$J47:T47)&lt;0.5, "Pending", IF(T47&lt;0.5, "Complete", "In Progress"))</f>
        <v>Pending</v>
      </c>
      <c r="V47" s="22">
        <v>0</v>
      </c>
      <c r="W47" s="22">
        <f t="shared" si="46"/>
        <v>0</v>
      </c>
      <c r="X47" s="23" t="str">
        <f>IF(SUMPRODUCT($J$67:W$67,$J47:W47)&lt;0.5, "Pending", IF(W47&lt;0.5, "Complete", "In Progress"))</f>
        <v>Pending</v>
      </c>
      <c r="Y47" s="22">
        <v>0</v>
      </c>
      <c r="Z47" s="22" t="e">
        <f>MAX(#REF!-Y47,0)</f>
        <v>#REF!</v>
      </c>
      <c r="AA47" s="23" t="e">
        <f>IF(SUMPRODUCT($J$67:Z$67,$J47:Z47)&lt;0.5, "Pending", IF(Z47&lt;0.5, "Complete", "In Progress"))</f>
        <v>#REF!</v>
      </c>
      <c r="AB47" s="22">
        <v>0</v>
      </c>
      <c r="AC47" s="22" t="e">
        <f t="shared" si="47"/>
        <v>#REF!</v>
      </c>
      <c r="AD47" s="23" t="e">
        <f>IF(SUMPRODUCT($J$67:AC$67,$J47:AC47)&lt;0.5, "Pending", IF(AC47&lt;0.5, "Complete", "In Progress"))</f>
        <v>#REF!</v>
      </c>
      <c r="AE47" s="22">
        <v>0</v>
      </c>
      <c r="AF47" s="22" t="e">
        <f t="shared" si="48"/>
        <v>#REF!</v>
      </c>
      <c r="AG47" s="23" t="e">
        <f>IF(SUMPRODUCT($J$67:AF$67,$J47:AF47)&lt;0.5, "Pending", IF(AF47&lt;0.5, "Complete", "In Progress"))</f>
        <v>#REF!</v>
      </c>
      <c r="AH47" s="22">
        <v>0</v>
      </c>
      <c r="AI47" s="22" t="e">
        <f t="shared" si="49"/>
        <v>#REF!</v>
      </c>
      <c r="AJ47" s="23" t="e">
        <f>IF(SUMPRODUCT($J$67:AI$67,$J47:AI47)&lt;0.5, "Pending", IF(AI47&lt;0.5, "Complete", "In Progress"))</f>
        <v>#REF!</v>
      </c>
      <c r="AK47" s="22">
        <v>0</v>
      </c>
      <c r="AL47" s="22" t="e">
        <f t="shared" si="50"/>
        <v>#REF!</v>
      </c>
      <c r="AM47" s="23" t="e">
        <f>IF(SUMPRODUCT($J$67:AL$67,$J47:AL47)&lt;0.5, "Pending", IF(AL47&lt;0.5, "Complete", "In Progress"))</f>
        <v>#REF!</v>
      </c>
      <c r="AN47" s="22">
        <v>0</v>
      </c>
      <c r="AO47" s="22" t="e">
        <f t="shared" si="51"/>
        <v>#REF!</v>
      </c>
      <c r="AP47" s="23" t="e">
        <f>IF(SUMPRODUCT($J$67:AO$67,$J47:AO47)&lt;0.5, "Pending", IF(AO47&lt;0.5, "Complete", "In Progress"))</f>
        <v>#REF!</v>
      </c>
      <c r="AQ47" s="22">
        <v>0</v>
      </c>
      <c r="AR47" s="22" t="e">
        <f t="shared" si="52"/>
        <v>#REF!</v>
      </c>
      <c r="AS47" s="23" t="e">
        <f>IF(SUMPRODUCT($J$67:AR$67,$J47:AR47)&lt;0.5, "Pending", IF(AR47&lt;0.5, "Complete", "In Progress"))</f>
        <v>#REF!</v>
      </c>
      <c r="AT47" s="22">
        <v>0</v>
      </c>
      <c r="AU47" s="22" t="e">
        <f t="shared" si="53"/>
        <v>#REF!</v>
      </c>
      <c r="AV47" s="23" t="e">
        <f>IF(SUMPRODUCT($J$67:AU$67,$J47:AU47)&lt;0.5, "Pending", IF(AU47&lt;0.5, "Complete", "In Progress"))</f>
        <v>#REF!</v>
      </c>
      <c r="AW47" s="22">
        <v>0</v>
      </c>
      <c r="AX47" s="22" t="e">
        <f t="shared" si="54"/>
        <v>#REF!</v>
      </c>
      <c r="AY47" s="23" t="e">
        <f>IF(SUMPRODUCT($J$67:AX$67,$J47:AX47)&lt;0.5, "Pending", IF(AX47&lt;0.5, "Complete", "In Progress"))</f>
        <v>#REF!</v>
      </c>
      <c r="AZ47" s="22">
        <v>0</v>
      </c>
      <c r="BA47" s="22" t="e">
        <f t="shared" si="55"/>
        <v>#REF!</v>
      </c>
      <c r="BB47" s="23" t="e">
        <f>IF(SUMPRODUCT($J$67:BA$67,$J47:BA47)&lt;0.5, "Pending", IF(BA47&lt;0.5, "Complete", "In Progress"))</f>
        <v>#REF!</v>
      </c>
      <c r="BC47" s="24"/>
      <c r="BD47" s="25">
        <f>SUMPRODUCT($H$67:X$67,$H47:X47)</f>
        <v>0</v>
      </c>
    </row>
    <row r="48" spans="1:56" x14ac:dyDescent="0.2">
      <c r="A48" s="16"/>
      <c r="B48" s="16"/>
      <c r="C48" s="16"/>
      <c r="D48" s="17"/>
      <c r="E48" s="88"/>
      <c r="F48" s="18" t="s">
        <v>76</v>
      </c>
      <c r="G48" s="19" t="e">
        <f t="shared" ca="1" si="56"/>
        <v>#REF!</v>
      </c>
      <c r="H48" s="20">
        <v>1</v>
      </c>
      <c r="I48" s="21">
        <v>0</v>
      </c>
      <c r="J48" s="22">
        <v>0</v>
      </c>
      <c r="K48" s="22">
        <f t="shared" si="42"/>
        <v>0</v>
      </c>
      <c r="L48" s="23" t="str">
        <f>IF(SUMPRODUCT($J$67:K$67,$J48:K48)&lt;0.5, "Pending", IF(K48&lt;0.5, "Complete", "In Progress"))</f>
        <v>Pending</v>
      </c>
      <c r="M48" s="22">
        <v>0</v>
      </c>
      <c r="N48" s="22">
        <f t="shared" si="43"/>
        <v>0</v>
      </c>
      <c r="O48" s="23" t="str">
        <f>IF(SUMPRODUCT($J$67:N$67,$J48:N48)&lt;0.5, "Pending", IF(N48&lt;0.5, "Complete", "In Progress"))</f>
        <v>Pending</v>
      </c>
      <c r="P48" s="22">
        <v>0</v>
      </c>
      <c r="Q48" s="22">
        <f t="shared" si="44"/>
        <v>0</v>
      </c>
      <c r="R48" s="23" t="str">
        <f>IF(SUMPRODUCT($J$67:Q$67,$J48:Q48)&lt;0.5, "Pending", IF(Q48&lt;0.5, "Complete", "In Progress"))</f>
        <v>Pending</v>
      </c>
      <c r="S48" s="22">
        <v>0</v>
      </c>
      <c r="T48" s="22">
        <f t="shared" si="45"/>
        <v>0</v>
      </c>
      <c r="U48" s="23" t="str">
        <f>IF(SUMPRODUCT($J$67:T$67,$J48:T48)&lt;0.5, "Pending", IF(T48&lt;0.5, "Complete", "In Progress"))</f>
        <v>Pending</v>
      </c>
      <c r="V48" s="22">
        <v>0</v>
      </c>
      <c r="W48" s="22">
        <f t="shared" si="46"/>
        <v>0</v>
      </c>
      <c r="X48" s="23" t="str">
        <f>IF(SUMPRODUCT($J$67:W$67,$J48:W48)&lt;0.5, "Pending", IF(W48&lt;0.5, "Complete", "In Progress"))</f>
        <v>Pending</v>
      </c>
      <c r="Y48" s="22">
        <v>0</v>
      </c>
      <c r="Z48" s="22" t="e">
        <f>MAX(#REF!-Y48,0)</f>
        <v>#REF!</v>
      </c>
      <c r="AA48" s="23" t="e">
        <f>IF(SUMPRODUCT($J$67:Z$67,$J48:Z48)&lt;0.5, "Pending", IF(Z48&lt;0.5, "Complete", "In Progress"))</f>
        <v>#REF!</v>
      </c>
      <c r="AB48" s="22">
        <v>0</v>
      </c>
      <c r="AC48" s="22" t="e">
        <f t="shared" si="47"/>
        <v>#REF!</v>
      </c>
      <c r="AD48" s="23" t="e">
        <f>IF(SUMPRODUCT($J$67:AC$67,$J48:AC48)&lt;0.5, "Pending", IF(AC48&lt;0.5, "Complete", "In Progress"))</f>
        <v>#REF!</v>
      </c>
      <c r="AE48" s="22">
        <v>0</v>
      </c>
      <c r="AF48" s="22" t="e">
        <f t="shared" si="48"/>
        <v>#REF!</v>
      </c>
      <c r="AG48" s="23" t="e">
        <f>IF(SUMPRODUCT($J$67:AF$67,$J48:AF48)&lt;0.5, "Pending", IF(AF48&lt;0.5, "Complete", "In Progress"))</f>
        <v>#REF!</v>
      </c>
      <c r="AH48" s="22">
        <v>0</v>
      </c>
      <c r="AI48" s="22" t="e">
        <f t="shared" si="49"/>
        <v>#REF!</v>
      </c>
      <c r="AJ48" s="23" t="e">
        <f>IF(SUMPRODUCT($J$67:AI$67,$J48:AI48)&lt;0.5, "Pending", IF(AI48&lt;0.5, "Complete", "In Progress"))</f>
        <v>#REF!</v>
      </c>
      <c r="AK48" s="22">
        <v>0</v>
      </c>
      <c r="AL48" s="22" t="e">
        <f t="shared" si="50"/>
        <v>#REF!</v>
      </c>
      <c r="AM48" s="23" t="e">
        <f>IF(SUMPRODUCT($J$67:AL$67,$J48:AL48)&lt;0.5, "Pending", IF(AL48&lt;0.5, "Complete", "In Progress"))</f>
        <v>#REF!</v>
      </c>
      <c r="AN48" s="22">
        <v>0</v>
      </c>
      <c r="AO48" s="22" t="e">
        <f t="shared" si="51"/>
        <v>#REF!</v>
      </c>
      <c r="AP48" s="23" t="e">
        <f>IF(SUMPRODUCT($J$67:AO$67,$J48:AO48)&lt;0.5, "Pending", IF(AO48&lt;0.5, "Complete", "In Progress"))</f>
        <v>#REF!</v>
      </c>
      <c r="AQ48" s="22">
        <v>0</v>
      </c>
      <c r="AR48" s="22" t="e">
        <f t="shared" si="52"/>
        <v>#REF!</v>
      </c>
      <c r="AS48" s="23" t="e">
        <f>IF(SUMPRODUCT($J$67:AR$67,$J48:AR48)&lt;0.5, "Pending", IF(AR48&lt;0.5, "Complete", "In Progress"))</f>
        <v>#REF!</v>
      </c>
      <c r="AT48" s="22">
        <v>0</v>
      </c>
      <c r="AU48" s="22" t="e">
        <f t="shared" si="53"/>
        <v>#REF!</v>
      </c>
      <c r="AV48" s="23" t="e">
        <f>IF(SUMPRODUCT($J$67:AU$67,$J48:AU48)&lt;0.5, "Pending", IF(AU48&lt;0.5, "Complete", "In Progress"))</f>
        <v>#REF!</v>
      </c>
      <c r="AW48" s="22">
        <v>0</v>
      </c>
      <c r="AX48" s="22" t="e">
        <f t="shared" si="54"/>
        <v>#REF!</v>
      </c>
      <c r="AY48" s="23" t="e">
        <f>IF(SUMPRODUCT($J$67:AX$67,$J48:AX48)&lt;0.5, "Pending", IF(AX48&lt;0.5, "Complete", "In Progress"))</f>
        <v>#REF!</v>
      </c>
      <c r="AZ48" s="22">
        <v>0</v>
      </c>
      <c r="BA48" s="22" t="e">
        <f t="shared" si="55"/>
        <v>#REF!</v>
      </c>
      <c r="BB48" s="23" t="e">
        <f>IF(SUMPRODUCT($J$67:BA$67,$J48:BA48)&lt;0.5, "Pending", IF(BA48&lt;0.5, "Complete", "In Progress"))</f>
        <v>#REF!</v>
      </c>
      <c r="BC48" s="24"/>
      <c r="BD48" s="25">
        <f>SUMPRODUCT($H$67:X$67,$H48:X48)</f>
        <v>0</v>
      </c>
    </row>
    <row r="49" spans="1:56" x14ac:dyDescent="0.2">
      <c r="A49" s="16"/>
      <c r="B49" s="16"/>
      <c r="C49" s="16"/>
      <c r="D49" s="17"/>
      <c r="E49" s="88"/>
      <c r="F49" s="18" t="s">
        <v>76</v>
      </c>
      <c r="G49" s="19" t="e">
        <f t="shared" ca="1" si="56"/>
        <v>#REF!</v>
      </c>
      <c r="H49" s="20">
        <v>1</v>
      </c>
      <c r="I49" s="21">
        <v>0</v>
      </c>
      <c r="J49" s="22">
        <v>0</v>
      </c>
      <c r="K49" s="22">
        <f t="shared" si="42"/>
        <v>0</v>
      </c>
      <c r="L49" s="23" t="str">
        <f>IF(SUMPRODUCT($J$67:K$67,$J49:K49)&lt;0.5, "Pending", IF(K49&lt;0.5, "Complete", "In Progress"))</f>
        <v>Pending</v>
      </c>
      <c r="M49" s="22">
        <v>0</v>
      </c>
      <c r="N49" s="22">
        <f t="shared" si="43"/>
        <v>0</v>
      </c>
      <c r="O49" s="23" t="str">
        <f>IF(SUMPRODUCT($J$67:N$67,$J49:N49)&lt;0.5, "Pending", IF(N49&lt;0.5, "Complete", "In Progress"))</f>
        <v>Pending</v>
      </c>
      <c r="P49" s="22">
        <v>0</v>
      </c>
      <c r="Q49" s="22">
        <f t="shared" si="44"/>
        <v>0</v>
      </c>
      <c r="R49" s="23" t="str">
        <f>IF(SUMPRODUCT($J$67:Q$67,$J49:Q49)&lt;0.5, "Pending", IF(Q49&lt;0.5, "Complete", "In Progress"))</f>
        <v>Pending</v>
      </c>
      <c r="S49" s="22">
        <v>0</v>
      </c>
      <c r="T49" s="22">
        <f t="shared" si="45"/>
        <v>0</v>
      </c>
      <c r="U49" s="23" t="str">
        <f>IF(SUMPRODUCT($J$67:T$67,$J49:T49)&lt;0.5, "Pending", IF(T49&lt;0.5, "Complete", "In Progress"))</f>
        <v>Pending</v>
      </c>
      <c r="V49" s="22">
        <v>0</v>
      </c>
      <c r="W49" s="22">
        <f t="shared" si="46"/>
        <v>0</v>
      </c>
      <c r="X49" s="23" t="str">
        <f>IF(SUMPRODUCT($J$67:W$67,$J49:W49)&lt;0.5, "Pending", IF(W49&lt;0.5, "Complete", "In Progress"))</f>
        <v>Pending</v>
      </c>
      <c r="Y49" s="22">
        <v>0</v>
      </c>
      <c r="Z49" s="22" t="e">
        <f>MAX(#REF!-Y49,0)</f>
        <v>#REF!</v>
      </c>
      <c r="AA49" s="23" t="e">
        <f>IF(SUMPRODUCT($J$67:Z$67,$J49:Z49)&lt;0.5, "Pending", IF(Z49&lt;0.5, "Complete", "In Progress"))</f>
        <v>#REF!</v>
      </c>
      <c r="AB49" s="22">
        <v>0</v>
      </c>
      <c r="AC49" s="22" t="e">
        <f t="shared" si="47"/>
        <v>#REF!</v>
      </c>
      <c r="AD49" s="23" t="e">
        <f>IF(SUMPRODUCT($J$67:AC$67,$J49:AC49)&lt;0.5, "Pending", IF(AC49&lt;0.5, "Complete", "In Progress"))</f>
        <v>#REF!</v>
      </c>
      <c r="AE49" s="22">
        <v>0</v>
      </c>
      <c r="AF49" s="22" t="e">
        <f t="shared" si="48"/>
        <v>#REF!</v>
      </c>
      <c r="AG49" s="23" t="e">
        <f>IF(SUMPRODUCT($J$67:AF$67,$J49:AF49)&lt;0.5, "Pending", IF(AF49&lt;0.5, "Complete", "In Progress"))</f>
        <v>#REF!</v>
      </c>
      <c r="AH49" s="22">
        <v>0</v>
      </c>
      <c r="AI49" s="22" t="e">
        <f t="shared" si="49"/>
        <v>#REF!</v>
      </c>
      <c r="AJ49" s="23" t="e">
        <f>IF(SUMPRODUCT($J$67:AI$67,$J49:AI49)&lt;0.5, "Pending", IF(AI49&lt;0.5, "Complete", "In Progress"))</f>
        <v>#REF!</v>
      </c>
      <c r="AK49" s="22">
        <v>0</v>
      </c>
      <c r="AL49" s="22" t="e">
        <f t="shared" si="50"/>
        <v>#REF!</v>
      </c>
      <c r="AM49" s="23" t="e">
        <f>IF(SUMPRODUCT($J$67:AL$67,$J49:AL49)&lt;0.5, "Pending", IF(AL49&lt;0.5, "Complete", "In Progress"))</f>
        <v>#REF!</v>
      </c>
      <c r="AN49" s="22">
        <v>0</v>
      </c>
      <c r="AO49" s="22" t="e">
        <f t="shared" si="51"/>
        <v>#REF!</v>
      </c>
      <c r="AP49" s="23" t="e">
        <f>IF(SUMPRODUCT($J$67:AO$67,$J49:AO49)&lt;0.5, "Pending", IF(AO49&lt;0.5, "Complete", "In Progress"))</f>
        <v>#REF!</v>
      </c>
      <c r="AQ49" s="22">
        <v>0</v>
      </c>
      <c r="AR49" s="22" t="e">
        <f t="shared" si="52"/>
        <v>#REF!</v>
      </c>
      <c r="AS49" s="23" t="e">
        <f>IF(SUMPRODUCT($J$67:AR$67,$J49:AR49)&lt;0.5, "Pending", IF(AR49&lt;0.5, "Complete", "In Progress"))</f>
        <v>#REF!</v>
      </c>
      <c r="AT49" s="22">
        <v>0</v>
      </c>
      <c r="AU49" s="22" t="e">
        <f t="shared" si="53"/>
        <v>#REF!</v>
      </c>
      <c r="AV49" s="23" t="e">
        <f>IF(SUMPRODUCT($J$67:AU$67,$J49:AU49)&lt;0.5, "Pending", IF(AU49&lt;0.5, "Complete", "In Progress"))</f>
        <v>#REF!</v>
      </c>
      <c r="AW49" s="22">
        <v>0</v>
      </c>
      <c r="AX49" s="22" t="e">
        <f t="shared" si="54"/>
        <v>#REF!</v>
      </c>
      <c r="AY49" s="23" t="e">
        <f>IF(SUMPRODUCT($J$67:AX$67,$J49:AX49)&lt;0.5, "Pending", IF(AX49&lt;0.5, "Complete", "In Progress"))</f>
        <v>#REF!</v>
      </c>
      <c r="AZ49" s="22">
        <v>0</v>
      </c>
      <c r="BA49" s="22" t="e">
        <f t="shared" si="55"/>
        <v>#REF!</v>
      </c>
      <c r="BB49" s="23" t="e">
        <f>IF(SUMPRODUCT($J$67:BA$67,$J49:BA49)&lt;0.5, "Pending", IF(BA49&lt;0.5, "Complete", "In Progress"))</f>
        <v>#REF!</v>
      </c>
      <c r="BC49" s="24"/>
      <c r="BD49" s="25">
        <f>SUMPRODUCT($H$67:X$67,$H49:X49)</f>
        <v>0</v>
      </c>
    </row>
    <row r="50" spans="1:56" x14ac:dyDescent="0.2">
      <c r="A50" s="16"/>
      <c r="B50" s="16"/>
      <c r="C50" s="16"/>
      <c r="D50" s="17"/>
      <c r="E50" s="88"/>
      <c r="F50" s="18" t="s">
        <v>76</v>
      </c>
      <c r="G50" s="19" t="e">
        <f t="shared" ca="1" si="56"/>
        <v>#REF!</v>
      </c>
      <c r="H50" s="20">
        <v>1</v>
      </c>
      <c r="I50" s="21">
        <v>0</v>
      </c>
      <c r="J50" s="22">
        <v>0</v>
      </c>
      <c r="K50" s="22">
        <f t="shared" si="42"/>
        <v>0</v>
      </c>
      <c r="L50" s="23" t="str">
        <f>IF(SUMPRODUCT($J$67:K$67,$J50:K50)&lt;0.5, "Pending", IF(K50&lt;0.5, "Complete", "In Progress"))</f>
        <v>Pending</v>
      </c>
      <c r="M50" s="22">
        <v>0</v>
      </c>
      <c r="N50" s="22">
        <f t="shared" si="43"/>
        <v>0</v>
      </c>
      <c r="O50" s="23" t="str">
        <f>IF(SUMPRODUCT($J$67:N$67,$J50:N50)&lt;0.5, "Pending", IF(N50&lt;0.5, "Complete", "In Progress"))</f>
        <v>Pending</v>
      </c>
      <c r="P50" s="22">
        <v>0</v>
      </c>
      <c r="Q50" s="22">
        <f t="shared" si="44"/>
        <v>0</v>
      </c>
      <c r="R50" s="23" t="str">
        <f>IF(SUMPRODUCT($J$67:Q$67,$J50:Q50)&lt;0.5, "Pending", IF(Q50&lt;0.5, "Complete", "In Progress"))</f>
        <v>Pending</v>
      </c>
      <c r="S50" s="22">
        <v>0</v>
      </c>
      <c r="T50" s="22">
        <f t="shared" si="45"/>
        <v>0</v>
      </c>
      <c r="U50" s="23" t="str">
        <f>IF(SUMPRODUCT($J$67:T$67,$J50:T50)&lt;0.5, "Pending", IF(T50&lt;0.5, "Complete", "In Progress"))</f>
        <v>Pending</v>
      </c>
      <c r="V50" s="22">
        <v>0</v>
      </c>
      <c r="W50" s="22">
        <f t="shared" si="46"/>
        <v>0</v>
      </c>
      <c r="X50" s="23" t="str">
        <f>IF(SUMPRODUCT($J$67:W$67,$J50:W50)&lt;0.5, "Pending", IF(W50&lt;0.5, "Complete", "In Progress"))</f>
        <v>Pending</v>
      </c>
      <c r="Y50" s="22">
        <v>0</v>
      </c>
      <c r="Z50" s="22" t="e">
        <f>MAX(#REF!-Y50,0)</f>
        <v>#REF!</v>
      </c>
      <c r="AA50" s="23" t="e">
        <f>IF(SUMPRODUCT($J$67:Z$67,$J50:Z50)&lt;0.5, "Pending", IF(Z50&lt;0.5, "Complete", "In Progress"))</f>
        <v>#REF!</v>
      </c>
      <c r="AB50" s="22">
        <v>0</v>
      </c>
      <c r="AC50" s="22" t="e">
        <f t="shared" si="47"/>
        <v>#REF!</v>
      </c>
      <c r="AD50" s="23" t="e">
        <f>IF(SUMPRODUCT($J$67:AC$67,$J50:AC50)&lt;0.5, "Pending", IF(AC50&lt;0.5, "Complete", "In Progress"))</f>
        <v>#REF!</v>
      </c>
      <c r="AE50" s="22">
        <v>0</v>
      </c>
      <c r="AF50" s="22" t="e">
        <f t="shared" si="48"/>
        <v>#REF!</v>
      </c>
      <c r="AG50" s="23" t="e">
        <f>IF(SUMPRODUCT($J$67:AF$67,$J50:AF50)&lt;0.5, "Pending", IF(AF50&lt;0.5, "Complete", "In Progress"))</f>
        <v>#REF!</v>
      </c>
      <c r="AH50" s="22">
        <v>0</v>
      </c>
      <c r="AI50" s="22" t="e">
        <f t="shared" si="49"/>
        <v>#REF!</v>
      </c>
      <c r="AJ50" s="23" t="e">
        <f>IF(SUMPRODUCT($J$67:AI$67,$J50:AI50)&lt;0.5, "Pending", IF(AI50&lt;0.5, "Complete", "In Progress"))</f>
        <v>#REF!</v>
      </c>
      <c r="AK50" s="22">
        <v>0</v>
      </c>
      <c r="AL50" s="22" t="e">
        <f t="shared" si="50"/>
        <v>#REF!</v>
      </c>
      <c r="AM50" s="23" t="e">
        <f>IF(SUMPRODUCT($J$67:AL$67,$J50:AL50)&lt;0.5, "Pending", IF(AL50&lt;0.5, "Complete", "In Progress"))</f>
        <v>#REF!</v>
      </c>
      <c r="AN50" s="22">
        <v>0</v>
      </c>
      <c r="AO50" s="22" t="e">
        <f t="shared" si="51"/>
        <v>#REF!</v>
      </c>
      <c r="AP50" s="23" t="e">
        <f>IF(SUMPRODUCT($J$67:AO$67,$J50:AO50)&lt;0.5, "Pending", IF(AO50&lt;0.5, "Complete", "In Progress"))</f>
        <v>#REF!</v>
      </c>
      <c r="AQ50" s="22">
        <v>0</v>
      </c>
      <c r="AR50" s="22" t="e">
        <f t="shared" si="52"/>
        <v>#REF!</v>
      </c>
      <c r="AS50" s="23" t="e">
        <f>IF(SUMPRODUCT($J$67:AR$67,$J50:AR50)&lt;0.5, "Pending", IF(AR50&lt;0.5, "Complete", "In Progress"))</f>
        <v>#REF!</v>
      </c>
      <c r="AT50" s="22">
        <v>0</v>
      </c>
      <c r="AU50" s="22" t="e">
        <f t="shared" si="53"/>
        <v>#REF!</v>
      </c>
      <c r="AV50" s="23" t="e">
        <f>IF(SUMPRODUCT($J$67:AU$67,$J50:AU50)&lt;0.5, "Pending", IF(AU50&lt;0.5, "Complete", "In Progress"))</f>
        <v>#REF!</v>
      </c>
      <c r="AW50" s="22">
        <v>0</v>
      </c>
      <c r="AX50" s="22" t="e">
        <f t="shared" si="54"/>
        <v>#REF!</v>
      </c>
      <c r="AY50" s="23" t="e">
        <f>IF(SUMPRODUCT($J$67:AX$67,$J50:AX50)&lt;0.5, "Pending", IF(AX50&lt;0.5, "Complete", "In Progress"))</f>
        <v>#REF!</v>
      </c>
      <c r="AZ50" s="22">
        <v>0</v>
      </c>
      <c r="BA50" s="22" t="e">
        <f t="shared" si="55"/>
        <v>#REF!</v>
      </c>
      <c r="BB50" s="23" t="e">
        <f>IF(SUMPRODUCT($J$67:BA$67,$J50:BA50)&lt;0.5, "Pending", IF(BA50&lt;0.5, "Complete", "In Progress"))</f>
        <v>#REF!</v>
      </c>
      <c r="BC50" s="24"/>
      <c r="BD50" s="25">
        <f>SUMPRODUCT($H$67:X$67,$H50:X50)</f>
        <v>0</v>
      </c>
    </row>
    <row r="51" spans="1:56" x14ac:dyDescent="0.2">
      <c r="A51" s="16"/>
      <c r="B51" s="16"/>
      <c r="C51" s="16"/>
      <c r="D51" s="17"/>
      <c r="E51" s="88"/>
      <c r="F51" s="18" t="s">
        <v>76</v>
      </c>
      <c r="G51" s="19" t="e">
        <f t="shared" ca="1" si="56"/>
        <v>#REF!</v>
      </c>
      <c r="H51" s="20">
        <v>1</v>
      </c>
      <c r="I51" s="21">
        <v>0</v>
      </c>
      <c r="J51" s="22">
        <v>0</v>
      </c>
      <c r="K51" s="22">
        <f t="shared" si="42"/>
        <v>0</v>
      </c>
      <c r="L51" s="23" t="str">
        <f>IF(SUMPRODUCT($J$67:K$67,$J51:K51)&lt;0.5, "Pending", IF(K51&lt;0.5, "Complete", "In Progress"))</f>
        <v>Pending</v>
      </c>
      <c r="M51" s="22">
        <v>0</v>
      </c>
      <c r="N51" s="22">
        <f t="shared" si="43"/>
        <v>0</v>
      </c>
      <c r="O51" s="23" t="str">
        <f>IF(SUMPRODUCT($J$67:N$67,$J51:N51)&lt;0.5, "Pending", IF(N51&lt;0.5, "Complete", "In Progress"))</f>
        <v>Pending</v>
      </c>
      <c r="P51" s="22">
        <v>0</v>
      </c>
      <c r="Q51" s="22">
        <f t="shared" si="44"/>
        <v>0</v>
      </c>
      <c r="R51" s="23" t="str">
        <f>IF(SUMPRODUCT($J$67:Q$67,$J51:Q51)&lt;0.5, "Pending", IF(Q51&lt;0.5, "Complete", "In Progress"))</f>
        <v>Pending</v>
      </c>
      <c r="S51" s="22">
        <v>0</v>
      </c>
      <c r="T51" s="22">
        <f t="shared" si="45"/>
        <v>0</v>
      </c>
      <c r="U51" s="23" t="str">
        <f>IF(SUMPRODUCT($J$67:T$67,$J51:T51)&lt;0.5, "Pending", IF(T51&lt;0.5, "Complete", "In Progress"))</f>
        <v>Pending</v>
      </c>
      <c r="V51" s="22">
        <v>0</v>
      </c>
      <c r="W51" s="22">
        <f t="shared" si="46"/>
        <v>0</v>
      </c>
      <c r="X51" s="23" t="str">
        <f>IF(SUMPRODUCT($J$67:W$67,$J51:W51)&lt;0.5, "Pending", IF(W51&lt;0.5, "Complete", "In Progress"))</f>
        <v>Pending</v>
      </c>
      <c r="Y51" s="22">
        <v>0</v>
      </c>
      <c r="Z51" s="22" t="e">
        <f>MAX(#REF!-Y51,0)</f>
        <v>#REF!</v>
      </c>
      <c r="AA51" s="23" t="e">
        <f>IF(SUMPRODUCT($J$67:Z$67,$J51:Z51)&lt;0.5, "Pending", IF(Z51&lt;0.5, "Complete", "In Progress"))</f>
        <v>#REF!</v>
      </c>
      <c r="AB51" s="22">
        <v>0</v>
      </c>
      <c r="AC51" s="22" t="e">
        <f t="shared" si="47"/>
        <v>#REF!</v>
      </c>
      <c r="AD51" s="23" t="e">
        <f>IF(SUMPRODUCT($J$67:AC$67,$J51:AC51)&lt;0.5, "Pending", IF(AC51&lt;0.5, "Complete", "In Progress"))</f>
        <v>#REF!</v>
      </c>
      <c r="AE51" s="22">
        <v>0</v>
      </c>
      <c r="AF51" s="22" t="e">
        <f t="shared" si="48"/>
        <v>#REF!</v>
      </c>
      <c r="AG51" s="23" t="e">
        <f>IF(SUMPRODUCT($J$67:AF$67,$J51:AF51)&lt;0.5, "Pending", IF(AF51&lt;0.5, "Complete", "In Progress"))</f>
        <v>#REF!</v>
      </c>
      <c r="AH51" s="22">
        <v>0</v>
      </c>
      <c r="AI51" s="22" t="e">
        <f t="shared" si="49"/>
        <v>#REF!</v>
      </c>
      <c r="AJ51" s="23" t="e">
        <f>IF(SUMPRODUCT($J$67:AI$67,$J51:AI51)&lt;0.5, "Pending", IF(AI51&lt;0.5, "Complete", "In Progress"))</f>
        <v>#REF!</v>
      </c>
      <c r="AK51" s="22">
        <v>0</v>
      </c>
      <c r="AL51" s="22" t="e">
        <f t="shared" si="50"/>
        <v>#REF!</v>
      </c>
      <c r="AM51" s="23" t="e">
        <f>IF(SUMPRODUCT($J$67:AL$67,$J51:AL51)&lt;0.5, "Pending", IF(AL51&lt;0.5, "Complete", "In Progress"))</f>
        <v>#REF!</v>
      </c>
      <c r="AN51" s="22">
        <v>0</v>
      </c>
      <c r="AO51" s="22" t="e">
        <f t="shared" si="51"/>
        <v>#REF!</v>
      </c>
      <c r="AP51" s="23" t="e">
        <f>IF(SUMPRODUCT($J$67:AO$67,$J51:AO51)&lt;0.5, "Pending", IF(AO51&lt;0.5, "Complete", "In Progress"))</f>
        <v>#REF!</v>
      </c>
      <c r="AQ51" s="22">
        <v>0</v>
      </c>
      <c r="AR51" s="22" t="e">
        <f t="shared" si="52"/>
        <v>#REF!</v>
      </c>
      <c r="AS51" s="23" t="e">
        <f>IF(SUMPRODUCT($J$67:AR$67,$J51:AR51)&lt;0.5, "Pending", IF(AR51&lt;0.5, "Complete", "In Progress"))</f>
        <v>#REF!</v>
      </c>
      <c r="AT51" s="22">
        <v>0</v>
      </c>
      <c r="AU51" s="22" t="e">
        <f t="shared" si="53"/>
        <v>#REF!</v>
      </c>
      <c r="AV51" s="23" t="e">
        <f>IF(SUMPRODUCT($J$67:AU$67,$J51:AU51)&lt;0.5, "Pending", IF(AU51&lt;0.5, "Complete", "In Progress"))</f>
        <v>#REF!</v>
      </c>
      <c r="AW51" s="22">
        <v>0</v>
      </c>
      <c r="AX51" s="22" t="e">
        <f t="shared" si="54"/>
        <v>#REF!</v>
      </c>
      <c r="AY51" s="23" t="e">
        <f>IF(SUMPRODUCT($J$67:AX$67,$J51:AX51)&lt;0.5, "Pending", IF(AX51&lt;0.5, "Complete", "In Progress"))</f>
        <v>#REF!</v>
      </c>
      <c r="AZ51" s="22">
        <v>0</v>
      </c>
      <c r="BA51" s="22" t="e">
        <f t="shared" si="55"/>
        <v>#REF!</v>
      </c>
      <c r="BB51" s="23" t="e">
        <f>IF(SUMPRODUCT($J$67:BA$67,$J51:BA51)&lt;0.5, "Pending", IF(BA51&lt;0.5, "Complete", "In Progress"))</f>
        <v>#REF!</v>
      </c>
      <c r="BC51" s="24"/>
      <c r="BD51" s="25">
        <f>SUMPRODUCT($H$67:X$67,$H51:X51)</f>
        <v>0</v>
      </c>
    </row>
    <row r="52" spans="1:56" x14ac:dyDescent="0.2">
      <c r="A52" s="16"/>
      <c r="B52" s="16"/>
      <c r="C52" s="16"/>
      <c r="D52" s="17"/>
      <c r="E52" s="88"/>
      <c r="F52" s="18" t="s">
        <v>76</v>
      </c>
      <c r="G52" s="19" t="e">
        <f t="shared" ca="1" si="56"/>
        <v>#REF!</v>
      </c>
      <c r="H52" s="20">
        <v>1</v>
      </c>
      <c r="I52" s="21">
        <v>0</v>
      </c>
      <c r="J52" s="22">
        <v>0</v>
      </c>
      <c r="K52" s="22">
        <f t="shared" si="42"/>
        <v>0</v>
      </c>
      <c r="L52" s="23" t="str">
        <f>IF(SUMPRODUCT($J$67:K$67,$J52:K52)&lt;0.5, "Pending", IF(K52&lt;0.5, "Complete", "In Progress"))</f>
        <v>Pending</v>
      </c>
      <c r="M52" s="22">
        <v>0</v>
      </c>
      <c r="N52" s="22">
        <f t="shared" si="43"/>
        <v>0</v>
      </c>
      <c r="O52" s="23" t="str">
        <f>IF(SUMPRODUCT($J$67:N$67,$J52:N52)&lt;0.5, "Pending", IF(N52&lt;0.5, "Complete", "In Progress"))</f>
        <v>Pending</v>
      </c>
      <c r="P52" s="22">
        <v>0</v>
      </c>
      <c r="Q52" s="22">
        <f t="shared" si="44"/>
        <v>0</v>
      </c>
      <c r="R52" s="23" t="str">
        <f>IF(SUMPRODUCT($J$67:Q$67,$J52:Q52)&lt;0.5, "Pending", IF(Q52&lt;0.5, "Complete", "In Progress"))</f>
        <v>Pending</v>
      </c>
      <c r="S52" s="22">
        <v>0</v>
      </c>
      <c r="T52" s="22">
        <f t="shared" si="45"/>
        <v>0</v>
      </c>
      <c r="U52" s="23" t="str">
        <f>IF(SUMPRODUCT($J$67:T$67,$J52:T52)&lt;0.5, "Pending", IF(T52&lt;0.5, "Complete", "In Progress"))</f>
        <v>Pending</v>
      </c>
      <c r="V52" s="22">
        <v>0</v>
      </c>
      <c r="W52" s="22">
        <f t="shared" si="46"/>
        <v>0</v>
      </c>
      <c r="X52" s="23" t="str">
        <f>IF(SUMPRODUCT($J$67:W$67,$J52:W52)&lt;0.5, "Pending", IF(W52&lt;0.5, "Complete", "In Progress"))</f>
        <v>Pending</v>
      </c>
      <c r="Y52" s="22">
        <v>0</v>
      </c>
      <c r="Z52" s="22" t="e">
        <f>MAX(#REF!-Y52,0)</f>
        <v>#REF!</v>
      </c>
      <c r="AA52" s="23" t="e">
        <f>IF(SUMPRODUCT($J$67:Z$67,$J52:Z52)&lt;0.5, "Pending", IF(Z52&lt;0.5, "Complete", "In Progress"))</f>
        <v>#REF!</v>
      </c>
      <c r="AB52" s="22">
        <v>0</v>
      </c>
      <c r="AC52" s="22" t="e">
        <f t="shared" si="47"/>
        <v>#REF!</v>
      </c>
      <c r="AD52" s="23" t="e">
        <f>IF(SUMPRODUCT($J$67:AC$67,$J52:AC52)&lt;0.5, "Pending", IF(AC52&lt;0.5, "Complete", "In Progress"))</f>
        <v>#REF!</v>
      </c>
      <c r="AE52" s="22">
        <v>0</v>
      </c>
      <c r="AF52" s="22" t="e">
        <f t="shared" si="48"/>
        <v>#REF!</v>
      </c>
      <c r="AG52" s="23" t="e">
        <f>IF(SUMPRODUCT($J$67:AF$67,$J52:AF52)&lt;0.5, "Pending", IF(AF52&lt;0.5, "Complete", "In Progress"))</f>
        <v>#REF!</v>
      </c>
      <c r="AH52" s="22">
        <v>0</v>
      </c>
      <c r="AI52" s="22" t="e">
        <f t="shared" si="49"/>
        <v>#REF!</v>
      </c>
      <c r="AJ52" s="23" t="e">
        <f>IF(SUMPRODUCT($J$67:AI$67,$J52:AI52)&lt;0.5, "Pending", IF(AI52&lt;0.5, "Complete", "In Progress"))</f>
        <v>#REF!</v>
      </c>
      <c r="AK52" s="22">
        <v>0</v>
      </c>
      <c r="AL52" s="22" t="e">
        <f t="shared" si="50"/>
        <v>#REF!</v>
      </c>
      <c r="AM52" s="23" t="e">
        <f>IF(SUMPRODUCT($J$67:AL$67,$J52:AL52)&lt;0.5, "Pending", IF(AL52&lt;0.5, "Complete", "In Progress"))</f>
        <v>#REF!</v>
      </c>
      <c r="AN52" s="22">
        <v>0</v>
      </c>
      <c r="AO52" s="22" t="e">
        <f t="shared" si="51"/>
        <v>#REF!</v>
      </c>
      <c r="AP52" s="23" t="e">
        <f>IF(SUMPRODUCT($J$67:AO$67,$J52:AO52)&lt;0.5, "Pending", IF(AO52&lt;0.5, "Complete", "In Progress"))</f>
        <v>#REF!</v>
      </c>
      <c r="AQ52" s="22">
        <v>0</v>
      </c>
      <c r="AR52" s="22" t="e">
        <f t="shared" si="52"/>
        <v>#REF!</v>
      </c>
      <c r="AS52" s="23" t="e">
        <f>IF(SUMPRODUCT($J$67:AR$67,$J52:AR52)&lt;0.5, "Pending", IF(AR52&lt;0.5, "Complete", "In Progress"))</f>
        <v>#REF!</v>
      </c>
      <c r="AT52" s="22">
        <v>0</v>
      </c>
      <c r="AU52" s="22" t="e">
        <f t="shared" si="53"/>
        <v>#REF!</v>
      </c>
      <c r="AV52" s="23" t="e">
        <f>IF(SUMPRODUCT($J$67:AU$67,$J52:AU52)&lt;0.5, "Pending", IF(AU52&lt;0.5, "Complete", "In Progress"))</f>
        <v>#REF!</v>
      </c>
      <c r="AW52" s="22">
        <v>0</v>
      </c>
      <c r="AX52" s="22" t="e">
        <f t="shared" si="54"/>
        <v>#REF!</v>
      </c>
      <c r="AY52" s="23" t="e">
        <f>IF(SUMPRODUCT($J$67:AX$67,$J52:AX52)&lt;0.5, "Pending", IF(AX52&lt;0.5, "Complete", "In Progress"))</f>
        <v>#REF!</v>
      </c>
      <c r="AZ52" s="22">
        <v>0</v>
      </c>
      <c r="BA52" s="22" t="e">
        <f t="shared" si="55"/>
        <v>#REF!</v>
      </c>
      <c r="BB52" s="23" t="e">
        <f>IF(SUMPRODUCT($J$67:BA$67,$J52:BA52)&lt;0.5, "Pending", IF(BA52&lt;0.5, "Complete", "In Progress"))</f>
        <v>#REF!</v>
      </c>
      <c r="BC52" s="24"/>
      <c r="BD52" s="25">
        <f>SUMPRODUCT($H$67:X$67,$H52:X52)</f>
        <v>0</v>
      </c>
    </row>
    <row r="53" spans="1:56" x14ac:dyDescent="0.2">
      <c r="A53" s="16"/>
      <c r="B53" s="16"/>
      <c r="C53" s="16"/>
      <c r="D53" s="17"/>
      <c r="E53" s="88"/>
      <c r="F53" s="18" t="s">
        <v>76</v>
      </c>
      <c r="G53" s="19" t="e">
        <f t="shared" ca="1" si="56"/>
        <v>#REF!</v>
      </c>
      <c r="H53" s="20">
        <v>1</v>
      </c>
      <c r="I53" s="21">
        <v>0</v>
      </c>
      <c r="J53" s="22">
        <v>0</v>
      </c>
      <c r="K53" s="22">
        <f t="shared" si="42"/>
        <v>0</v>
      </c>
      <c r="L53" s="23" t="str">
        <f>IF(SUMPRODUCT($J$67:K$67,$J53:K53)&lt;0.5, "Pending", IF(K53&lt;0.5, "Complete", "In Progress"))</f>
        <v>Pending</v>
      </c>
      <c r="M53" s="22">
        <v>0</v>
      </c>
      <c r="N53" s="22">
        <f t="shared" si="43"/>
        <v>0</v>
      </c>
      <c r="O53" s="23" t="str">
        <f>IF(SUMPRODUCT($J$67:N$67,$J53:N53)&lt;0.5, "Pending", IF(N53&lt;0.5, "Complete", "In Progress"))</f>
        <v>Pending</v>
      </c>
      <c r="P53" s="22">
        <v>0</v>
      </c>
      <c r="Q53" s="22">
        <f t="shared" si="44"/>
        <v>0</v>
      </c>
      <c r="R53" s="23" t="str">
        <f>IF(SUMPRODUCT($J$67:Q$67,$J53:Q53)&lt;0.5, "Pending", IF(Q53&lt;0.5, "Complete", "In Progress"))</f>
        <v>Pending</v>
      </c>
      <c r="S53" s="22">
        <v>0</v>
      </c>
      <c r="T53" s="22">
        <f t="shared" si="45"/>
        <v>0</v>
      </c>
      <c r="U53" s="23" t="str">
        <f>IF(SUMPRODUCT($J$67:T$67,$J53:T53)&lt;0.5, "Pending", IF(T53&lt;0.5, "Complete", "In Progress"))</f>
        <v>Pending</v>
      </c>
      <c r="V53" s="22">
        <v>0</v>
      </c>
      <c r="W53" s="22">
        <f t="shared" si="46"/>
        <v>0</v>
      </c>
      <c r="X53" s="23" t="str">
        <f>IF(SUMPRODUCT($J$67:W$67,$J53:W53)&lt;0.5, "Pending", IF(W53&lt;0.5, "Complete", "In Progress"))</f>
        <v>Pending</v>
      </c>
      <c r="Y53" s="22">
        <v>0</v>
      </c>
      <c r="Z53" s="22" t="e">
        <f>MAX(#REF!-Y53,0)</f>
        <v>#REF!</v>
      </c>
      <c r="AA53" s="23" t="e">
        <f>IF(SUMPRODUCT($J$67:Z$67,$J53:Z53)&lt;0.5, "Pending", IF(Z53&lt;0.5, "Complete", "In Progress"))</f>
        <v>#REF!</v>
      </c>
      <c r="AB53" s="22">
        <v>0</v>
      </c>
      <c r="AC53" s="22" t="e">
        <f t="shared" si="47"/>
        <v>#REF!</v>
      </c>
      <c r="AD53" s="23" t="e">
        <f>IF(SUMPRODUCT($J$67:AC$67,$J53:AC53)&lt;0.5, "Pending", IF(AC53&lt;0.5, "Complete", "In Progress"))</f>
        <v>#REF!</v>
      </c>
      <c r="AE53" s="22">
        <v>0</v>
      </c>
      <c r="AF53" s="22" t="e">
        <f t="shared" si="48"/>
        <v>#REF!</v>
      </c>
      <c r="AG53" s="23" t="e">
        <f>IF(SUMPRODUCT($J$67:AF$67,$J53:AF53)&lt;0.5, "Pending", IF(AF53&lt;0.5, "Complete", "In Progress"))</f>
        <v>#REF!</v>
      </c>
      <c r="AH53" s="22">
        <v>0</v>
      </c>
      <c r="AI53" s="22" t="e">
        <f t="shared" si="49"/>
        <v>#REF!</v>
      </c>
      <c r="AJ53" s="23" t="e">
        <f>IF(SUMPRODUCT($J$67:AI$67,$J53:AI53)&lt;0.5, "Pending", IF(AI53&lt;0.5, "Complete", "In Progress"))</f>
        <v>#REF!</v>
      </c>
      <c r="AK53" s="22">
        <v>0</v>
      </c>
      <c r="AL53" s="22" t="e">
        <f t="shared" si="50"/>
        <v>#REF!</v>
      </c>
      <c r="AM53" s="23" t="e">
        <f>IF(SUMPRODUCT($J$67:AL$67,$J53:AL53)&lt;0.5, "Pending", IF(AL53&lt;0.5, "Complete", "In Progress"))</f>
        <v>#REF!</v>
      </c>
      <c r="AN53" s="22">
        <v>0</v>
      </c>
      <c r="AO53" s="22" t="e">
        <f t="shared" si="51"/>
        <v>#REF!</v>
      </c>
      <c r="AP53" s="23" t="e">
        <f>IF(SUMPRODUCT($J$67:AO$67,$J53:AO53)&lt;0.5, "Pending", IF(AO53&lt;0.5, "Complete", "In Progress"))</f>
        <v>#REF!</v>
      </c>
      <c r="AQ53" s="22">
        <v>0</v>
      </c>
      <c r="AR53" s="22" t="e">
        <f t="shared" si="52"/>
        <v>#REF!</v>
      </c>
      <c r="AS53" s="23" t="e">
        <f>IF(SUMPRODUCT($J$67:AR$67,$J53:AR53)&lt;0.5, "Pending", IF(AR53&lt;0.5, "Complete", "In Progress"))</f>
        <v>#REF!</v>
      </c>
      <c r="AT53" s="22">
        <v>0</v>
      </c>
      <c r="AU53" s="22" t="e">
        <f t="shared" si="53"/>
        <v>#REF!</v>
      </c>
      <c r="AV53" s="23" t="e">
        <f>IF(SUMPRODUCT($J$67:AU$67,$J53:AU53)&lt;0.5, "Pending", IF(AU53&lt;0.5, "Complete", "In Progress"))</f>
        <v>#REF!</v>
      </c>
      <c r="AW53" s="22">
        <v>0</v>
      </c>
      <c r="AX53" s="22" t="e">
        <f t="shared" si="54"/>
        <v>#REF!</v>
      </c>
      <c r="AY53" s="23" t="e">
        <f>IF(SUMPRODUCT($J$67:AX$67,$J53:AX53)&lt;0.5, "Pending", IF(AX53&lt;0.5, "Complete", "In Progress"))</f>
        <v>#REF!</v>
      </c>
      <c r="AZ53" s="22">
        <v>0</v>
      </c>
      <c r="BA53" s="22" t="e">
        <f t="shared" si="55"/>
        <v>#REF!</v>
      </c>
      <c r="BB53" s="23" t="e">
        <f>IF(SUMPRODUCT($J$67:BA$67,$J53:BA53)&lt;0.5, "Pending", IF(BA53&lt;0.5, "Complete", "In Progress"))</f>
        <v>#REF!</v>
      </c>
      <c r="BC53" s="24"/>
      <c r="BD53" s="25">
        <f>SUMPRODUCT($H$67:X$67,$H53:X53)</f>
        <v>0</v>
      </c>
    </row>
    <row r="54" spans="1:56" x14ac:dyDescent="0.2">
      <c r="A54" s="16"/>
      <c r="B54" s="16"/>
      <c r="C54" s="16"/>
      <c r="D54" s="17"/>
      <c r="E54" s="88"/>
      <c r="F54" s="18" t="s">
        <v>76</v>
      </c>
      <c r="G54" s="19" t="e">
        <f t="shared" ca="1" si="56"/>
        <v>#REF!</v>
      </c>
      <c r="H54" s="20">
        <v>1</v>
      </c>
      <c r="I54" s="21">
        <v>0</v>
      </c>
      <c r="J54" s="22">
        <v>0</v>
      </c>
      <c r="K54" s="22">
        <f t="shared" si="42"/>
        <v>0</v>
      </c>
      <c r="L54" s="23" t="str">
        <f>IF(SUMPRODUCT($J$67:K$67,$J54:K54)&lt;0.5, "Pending", IF(K54&lt;0.5, "Complete", "In Progress"))</f>
        <v>Pending</v>
      </c>
      <c r="M54" s="22">
        <v>0</v>
      </c>
      <c r="N54" s="22">
        <f t="shared" si="43"/>
        <v>0</v>
      </c>
      <c r="O54" s="23" t="str">
        <f>IF(SUMPRODUCT($J$67:N$67,$J54:N54)&lt;0.5, "Pending", IF(N54&lt;0.5, "Complete", "In Progress"))</f>
        <v>Pending</v>
      </c>
      <c r="P54" s="22">
        <v>0</v>
      </c>
      <c r="Q54" s="22">
        <f t="shared" si="44"/>
        <v>0</v>
      </c>
      <c r="R54" s="23" t="str">
        <f>IF(SUMPRODUCT($J$67:Q$67,$J54:Q54)&lt;0.5, "Pending", IF(Q54&lt;0.5, "Complete", "In Progress"))</f>
        <v>Pending</v>
      </c>
      <c r="S54" s="22">
        <v>0</v>
      </c>
      <c r="T54" s="22">
        <f t="shared" si="45"/>
        <v>0</v>
      </c>
      <c r="U54" s="23" t="str">
        <f>IF(SUMPRODUCT($J$67:T$67,$J54:T54)&lt;0.5, "Pending", IF(T54&lt;0.5, "Complete", "In Progress"))</f>
        <v>Pending</v>
      </c>
      <c r="V54" s="22">
        <v>0</v>
      </c>
      <c r="W54" s="22">
        <f t="shared" si="46"/>
        <v>0</v>
      </c>
      <c r="X54" s="23" t="str">
        <f>IF(SUMPRODUCT($J$67:W$67,$J54:W54)&lt;0.5, "Pending", IF(W54&lt;0.5, "Complete", "In Progress"))</f>
        <v>Pending</v>
      </c>
      <c r="Y54" s="22">
        <v>0</v>
      </c>
      <c r="Z54" s="22" t="e">
        <f>MAX(#REF!-Y54,0)</f>
        <v>#REF!</v>
      </c>
      <c r="AA54" s="23" t="e">
        <f>IF(SUMPRODUCT($J$67:Z$67,$J54:Z54)&lt;0.5, "Pending", IF(Z54&lt;0.5, "Complete", "In Progress"))</f>
        <v>#REF!</v>
      </c>
      <c r="AB54" s="22">
        <v>0</v>
      </c>
      <c r="AC54" s="22" t="e">
        <f t="shared" si="47"/>
        <v>#REF!</v>
      </c>
      <c r="AD54" s="23" t="e">
        <f>IF(SUMPRODUCT($J$67:AC$67,$J54:AC54)&lt;0.5, "Pending", IF(AC54&lt;0.5, "Complete", "In Progress"))</f>
        <v>#REF!</v>
      </c>
      <c r="AE54" s="22">
        <v>0</v>
      </c>
      <c r="AF54" s="22" t="e">
        <f t="shared" si="48"/>
        <v>#REF!</v>
      </c>
      <c r="AG54" s="23" t="e">
        <f>IF(SUMPRODUCT($J$67:AF$67,$J54:AF54)&lt;0.5, "Pending", IF(AF54&lt;0.5, "Complete", "In Progress"))</f>
        <v>#REF!</v>
      </c>
      <c r="AH54" s="22">
        <v>0</v>
      </c>
      <c r="AI54" s="22" t="e">
        <f t="shared" si="49"/>
        <v>#REF!</v>
      </c>
      <c r="AJ54" s="23" t="e">
        <f>IF(SUMPRODUCT($J$67:AI$67,$J54:AI54)&lt;0.5, "Pending", IF(AI54&lt;0.5, "Complete", "In Progress"))</f>
        <v>#REF!</v>
      </c>
      <c r="AK54" s="22">
        <v>0</v>
      </c>
      <c r="AL54" s="22" t="e">
        <f t="shared" si="50"/>
        <v>#REF!</v>
      </c>
      <c r="AM54" s="23" t="e">
        <f>IF(SUMPRODUCT($J$67:AL$67,$J54:AL54)&lt;0.5, "Pending", IF(AL54&lt;0.5, "Complete", "In Progress"))</f>
        <v>#REF!</v>
      </c>
      <c r="AN54" s="22">
        <v>0</v>
      </c>
      <c r="AO54" s="22" t="e">
        <f t="shared" si="51"/>
        <v>#REF!</v>
      </c>
      <c r="AP54" s="23" t="e">
        <f>IF(SUMPRODUCT($J$67:AO$67,$J54:AO54)&lt;0.5, "Pending", IF(AO54&lt;0.5, "Complete", "In Progress"))</f>
        <v>#REF!</v>
      </c>
      <c r="AQ54" s="22">
        <v>0</v>
      </c>
      <c r="AR54" s="22" t="e">
        <f t="shared" si="52"/>
        <v>#REF!</v>
      </c>
      <c r="AS54" s="23" t="e">
        <f>IF(SUMPRODUCT($J$67:AR$67,$J54:AR54)&lt;0.5, "Pending", IF(AR54&lt;0.5, "Complete", "In Progress"))</f>
        <v>#REF!</v>
      </c>
      <c r="AT54" s="22">
        <v>0</v>
      </c>
      <c r="AU54" s="22" t="e">
        <f t="shared" si="53"/>
        <v>#REF!</v>
      </c>
      <c r="AV54" s="23" t="e">
        <f>IF(SUMPRODUCT($J$67:AU$67,$J54:AU54)&lt;0.5, "Pending", IF(AU54&lt;0.5, "Complete", "In Progress"))</f>
        <v>#REF!</v>
      </c>
      <c r="AW54" s="22">
        <v>0</v>
      </c>
      <c r="AX54" s="22" t="e">
        <f t="shared" si="54"/>
        <v>#REF!</v>
      </c>
      <c r="AY54" s="23" t="e">
        <f>IF(SUMPRODUCT($J$67:AX$67,$J54:AX54)&lt;0.5, "Pending", IF(AX54&lt;0.5, "Complete", "In Progress"))</f>
        <v>#REF!</v>
      </c>
      <c r="AZ54" s="22">
        <v>0</v>
      </c>
      <c r="BA54" s="22" t="e">
        <f t="shared" si="55"/>
        <v>#REF!</v>
      </c>
      <c r="BB54" s="23" t="e">
        <f>IF(SUMPRODUCT($J$67:BA$67,$J54:BA54)&lt;0.5, "Pending", IF(BA54&lt;0.5, "Complete", "In Progress"))</f>
        <v>#REF!</v>
      </c>
      <c r="BC54" s="24"/>
      <c r="BD54" s="25">
        <f>SUMPRODUCT($H$67:X$67,$H54:X54)</f>
        <v>0</v>
      </c>
    </row>
    <row r="55" spans="1:56" x14ac:dyDescent="0.2">
      <c r="A55" s="16"/>
      <c r="B55" s="16"/>
      <c r="C55" s="16"/>
      <c r="D55" s="17"/>
      <c r="E55" s="88"/>
      <c r="F55" s="18" t="s">
        <v>76</v>
      </c>
      <c r="G55" s="19" t="e">
        <f t="shared" ca="1" si="56"/>
        <v>#REF!</v>
      </c>
      <c r="H55" s="20">
        <v>1</v>
      </c>
      <c r="I55" s="21">
        <v>0</v>
      </c>
      <c r="J55" s="22">
        <v>0</v>
      </c>
      <c r="K55" s="22">
        <f t="shared" si="42"/>
        <v>0</v>
      </c>
      <c r="L55" s="23" t="str">
        <f>IF(SUMPRODUCT($J$67:K$67,$J55:K55)&lt;0.5, "Pending", IF(K55&lt;0.5, "Complete", "In Progress"))</f>
        <v>Pending</v>
      </c>
      <c r="M55" s="22">
        <v>0</v>
      </c>
      <c r="N55" s="22">
        <f t="shared" si="43"/>
        <v>0</v>
      </c>
      <c r="O55" s="23" t="str">
        <f>IF(SUMPRODUCT($J$67:N$67,$J55:N55)&lt;0.5, "Pending", IF(N55&lt;0.5, "Complete", "In Progress"))</f>
        <v>Pending</v>
      </c>
      <c r="P55" s="22">
        <v>0</v>
      </c>
      <c r="Q55" s="22">
        <f t="shared" si="44"/>
        <v>0</v>
      </c>
      <c r="R55" s="23" t="str">
        <f>IF(SUMPRODUCT($J$67:Q$67,$J55:Q55)&lt;0.5, "Pending", IF(Q55&lt;0.5, "Complete", "In Progress"))</f>
        <v>Pending</v>
      </c>
      <c r="S55" s="22">
        <v>0</v>
      </c>
      <c r="T55" s="22">
        <f t="shared" si="45"/>
        <v>0</v>
      </c>
      <c r="U55" s="23" t="str">
        <f>IF(SUMPRODUCT($J$67:T$67,$J55:T55)&lt;0.5, "Pending", IF(T55&lt;0.5, "Complete", "In Progress"))</f>
        <v>Pending</v>
      </c>
      <c r="V55" s="22">
        <v>0</v>
      </c>
      <c r="W55" s="22">
        <f t="shared" si="46"/>
        <v>0</v>
      </c>
      <c r="X55" s="23" t="str">
        <f>IF(SUMPRODUCT($J$67:W$67,$J55:W55)&lt;0.5, "Pending", IF(W55&lt;0.5, "Complete", "In Progress"))</f>
        <v>Pending</v>
      </c>
      <c r="Y55" s="22">
        <v>0</v>
      </c>
      <c r="Z55" s="22" t="e">
        <f>MAX(#REF!-Y55,0)</f>
        <v>#REF!</v>
      </c>
      <c r="AA55" s="23" t="e">
        <f>IF(SUMPRODUCT($J$67:Z$67,$J55:Z55)&lt;0.5, "Pending", IF(Z55&lt;0.5, "Complete", "In Progress"))</f>
        <v>#REF!</v>
      </c>
      <c r="AB55" s="22">
        <v>0</v>
      </c>
      <c r="AC55" s="22" t="e">
        <f t="shared" si="47"/>
        <v>#REF!</v>
      </c>
      <c r="AD55" s="23" t="e">
        <f>IF(SUMPRODUCT($J$67:AC$67,$J55:AC55)&lt;0.5, "Pending", IF(AC55&lt;0.5, "Complete", "In Progress"))</f>
        <v>#REF!</v>
      </c>
      <c r="AE55" s="22">
        <v>0</v>
      </c>
      <c r="AF55" s="22" t="e">
        <f t="shared" si="48"/>
        <v>#REF!</v>
      </c>
      <c r="AG55" s="23" t="e">
        <f>IF(SUMPRODUCT($J$67:AF$67,$J55:AF55)&lt;0.5, "Pending", IF(AF55&lt;0.5, "Complete", "In Progress"))</f>
        <v>#REF!</v>
      </c>
      <c r="AH55" s="22">
        <v>0</v>
      </c>
      <c r="AI55" s="22" t="e">
        <f t="shared" si="49"/>
        <v>#REF!</v>
      </c>
      <c r="AJ55" s="23" t="e">
        <f>IF(SUMPRODUCT($J$67:AI$67,$J55:AI55)&lt;0.5, "Pending", IF(AI55&lt;0.5, "Complete", "In Progress"))</f>
        <v>#REF!</v>
      </c>
      <c r="AK55" s="22">
        <v>0</v>
      </c>
      <c r="AL55" s="22" t="e">
        <f t="shared" si="50"/>
        <v>#REF!</v>
      </c>
      <c r="AM55" s="23" t="e">
        <f>IF(SUMPRODUCT($J$67:AL$67,$J55:AL55)&lt;0.5, "Pending", IF(AL55&lt;0.5, "Complete", "In Progress"))</f>
        <v>#REF!</v>
      </c>
      <c r="AN55" s="22">
        <v>0</v>
      </c>
      <c r="AO55" s="22" t="e">
        <f t="shared" si="51"/>
        <v>#REF!</v>
      </c>
      <c r="AP55" s="23" t="e">
        <f>IF(SUMPRODUCT($J$67:AO$67,$J55:AO55)&lt;0.5, "Pending", IF(AO55&lt;0.5, "Complete", "In Progress"))</f>
        <v>#REF!</v>
      </c>
      <c r="AQ55" s="22">
        <v>0</v>
      </c>
      <c r="AR55" s="22" t="e">
        <f t="shared" si="52"/>
        <v>#REF!</v>
      </c>
      <c r="AS55" s="23" t="e">
        <f>IF(SUMPRODUCT($J$67:AR$67,$J55:AR55)&lt;0.5, "Pending", IF(AR55&lt;0.5, "Complete", "In Progress"))</f>
        <v>#REF!</v>
      </c>
      <c r="AT55" s="22">
        <v>0</v>
      </c>
      <c r="AU55" s="22" t="e">
        <f t="shared" si="53"/>
        <v>#REF!</v>
      </c>
      <c r="AV55" s="23" t="e">
        <f>IF(SUMPRODUCT($J$67:AU$67,$J55:AU55)&lt;0.5, "Pending", IF(AU55&lt;0.5, "Complete", "In Progress"))</f>
        <v>#REF!</v>
      </c>
      <c r="AW55" s="22">
        <v>0</v>
      </c>
      <c r="AX55" s="22" t="e">
        <f t="shared" si="54"/>
        <v>#REF!</v>
      </c>
      <c r="AY55" s="23" t="e">
        <f>IF(SUMPRODUCT($J$67:AX$67,$J55:AX55)&lt;0.5, "Pending", IF(AX55&lt;0.5, "Complete", "In Progress"))</f>
        <v>#REF!</v>
      </c>
      <c r="AZ55" s="22">
        <v>0</v>
      </c>
      <c r="BA55" s="22" t="e">
        <f t="shared" si="55"/>
        <v>#REF!</v>
      </c>
      <c r="BB55" s="23" t="e">
        <f>IF(SUMPRODUCT($J$67:BA$67,$J55:BA55)&lt;0.5, "Pending", IF(BA55&lt;0.5, "Complete", "In Progress"))</f>
        <v>#REF!</v>
      </c>
      <c r="BC55" s="24"/>
      <c r="BD55" s="25">
        <f>SUMPRODUCT($H$67:X$67,$H55:X55)</f>
        <v>0</v>
      </c>
    </row>
    <row r="56" spans="1:56" x14ac:dyDescent="0.2">
      <c r="A56" s="16"/>
      <c r="B56" s="16"/>
      <c r="C56" s="16"/>
      <c r="D56" s="17"/>
      <c r="E56" s="88"/>
      <c r="F56" s="18" t="s">
        <v>76</v>
      </c>
      <c r="G56" s="19" t="e">
        <f t="shared" ca="1" si="56"/>
        <v>#REF!</v>
      </c>
      <c r="H56" s="20">
        <v>1</v>
      </c>
      <c r="I56" s="21">
        <v>0</v>
      </c>
      <c r="J56" s="22">
        <v>0</v>
      </c>
      <c r="K56" s="22">
        <f t="shared" si="42"/>
        <v>0</v>
      </c>
      <c r="L56" s="23" t="str">
        <f>IF(SUMPRODUCT($J$67:K$67,$J56:K56)&lt;0.5, "Pending", IF(K56&lt;0.5, "Complete", "In Progress"))</f>
        <v>Pending</v>
      </c>
      <c r="M56" s="22">
        <v>0</v>
      </c>
      <c r="N56" s="22">
        <f t="shared" si="43"/>
        <v>0</v>
      </c>
      <c r="O56" s="23" t="str">
        <f>IF(SUMPRODUCT($J$67:N$67,$J56:N56)&lt;0.5, "Pending", IF(N56&lt;0.5, "Complete", "In Progress"))</f>
        <v>Pending</v>
      </c>
      <c r="P56" s="22">
        <v>0</v>
      </c>
      <c r="Q56" s="22">
        <f t="shared" si="44"/>
        <v>0</v>
      </c>
      <c r="R56" s="23" t="str">
        <f>IF(SUMPRODUCT($J$67:Q$67,$J56:Q56)&lt;0.5, "Pending", IF(Q56&lt;0.5, "Complete", "In Progress"))</f>
        <v>Pending</v>
      </c>
      <c r="S56" s="22">
        <v>0</v>
      </c>
      <c r="T56" s="22">
        <f t="shared" si="45"/>
        <v>0</v>
      </c>
      <c r="U56" s="23" t="str">
        <f>IF(SUMPRODUCT($J$67:T$67,$J56:T56)&lt;0.5, "Pending", IF(T56&lt;0.5, "Complete", "In Progress"))</f>
        <v>Pending</v>
      </c>
      <c r="V56" s="22">
        <v>0</v>
      </c>
      <c r="W56" s="22">
        <f t="shared" si="46"/>
        <v>0</v>
      </c>
      <c r="X56" s="23" t="str">
        <f>IF(SUMPRODUCT($J$67:W$67,$J56:W56)&lt;0.5, "Pending", IF(W56&lt;0.5, "Complete", "In Progress"))</f>
        <v>Pending</v>
      </c>
      <c r="Y56" s="22">
        <v>0</v>
      </c>
      <c r="Z56" s="22" t="e">
        <f>MAX(#REF!-Y56,0)</f>
        <v>#REF!</v>
      </c>
      <c r="AA56" s="23" t="e">
        <f>IF(SUMPRODUCT($J$67:Z$67,$J56:Z56)&lt;0.5, "Pending", IF(Z56&lt;0.5, "Complete", "In Progress"))</f>
        <v>#REF!</v>
      </c>
      <c r="AB56" s="22">
        <v>0</v>
      </c>
      <c r="AC56" s="22" t="e">
        <f t="shared" si="47"/>
        <v>#REF!</v>
      </c>
      <c r="AD56" s="23" t="e">
        <f>IF(SUMPRODUCT($J$67:AC$67,$J56:AC56)&lt;0.5, "Pending", IF(AC56&lt;0.5, "Complete", "In Progress"))</f>
        <v>#REF!</v>
      </c>
      <c r="AE56" s="22">
        <v>0</v>
      </c>
      <c r="AF56" s="22" t="e">
        <f t="shared" si="48"/>
        <v>#REF!</v>
      </c>
      <c r="AG56" s="23" t="e">
        <f>IF(SUMPRODUCT($J$67:AF$67,$J56:AF56)&lt;0.5, "Pending", IF(AF56&lt;0.5, "Complete", "In Progress"))</f>
        <v>#REF!</v>
      </c>
      <c r="AH56" s="22">
        <v>0</v>
      </c>
      <c r="AI56" s="22" t="e">
        <f t="shared" si="49"/>
        <v>#REF!</v>
      </c>
      <c r="AJ56" s="23" t="e">
        <f>IF(SUMPRODUCT($J$67:AI$67,$J56:AI56)&lt;0.5, "Pending", IF(AI56&lt;0.5, "Complete", "In Progress"))</f>
        <v>#REF!</v>
      </c>
      <c r="AK56" s="22">
        <v>0</v>
      </c>
      <c r="AL56" s="22" t="e">
        <f t="shared" si="50"/>
        <v>#REF!</v>
      </c>
      <c r="AM56" s="23" t="e">
        <f>IF(SUMPRODUCT($J$67:AL$67,$J56:AL56)&lt;0.5, "Pending", IF(AL56&lt;0.5, "Complete", "In Progress"))</f>
        <v>#REF!</v>
      </c>
      <c r="AN56" s="22">
        <v>0</v>
      </c>
      <c r="AO56" s="22" t="e">
        <f t="shared" si="51"/>
        <v>#REF!</v>
      </c>
      <c r="AP56" s="23" t="e">
        <f>IF(SUMPRODUCT($J$67:AO$67,$J56:AO56)&lt;0.5, "Pending", IF(AO56&lt;0.5, "Complete", "In Progress"))</f>
        <v>#REF!</v>
      </c>
      <c r="AQ56" s="22">
        <v>0</v>
      </c>
      <c r="AR56" s="22" t="e">
        <f t="shared" si="52"/>
        <v>#REF!</v>
      </c>
      <c r="AS56" s="23" t="e">
        <f>IF(SUMPRODUCT($J$67:AR$67,$J56:AR56)&lt;0.5, "Pending", IF(AR56&lt;0.5, "Complete", "In Progress"))</f>
        <v>#REF!</v>
      </c>
      <c r="AT56" s="22">
        <v>0</v>
      </c>
      <c r="AU56" s="22" t="e">
        <f t="shared" si="53"/>
        <v>#REF!</v>
      </c>
      <c r="AV56" s="23" t="e">
        <f>IF(SUMPRODUCT($J$67:AU$67,$J56:AU56)&lt;0.5, "Pending", IF(AU56&lt;0.5, "Complete", "In Progress"))</f>
        <v>#REF!</v>
      </c>
      <c r="AW56" s="22">
        <v>0</v>
      </c>
      <c r="AX56" s="22" t="e">
        <f t="shared" si="54"/>
        <v>#REF!</v>
      </c>
      <c r="AY56" s="23" t="e">
        <f>IF(SUMPRODUCT($J$67:AX$67,$J56:AX56)&lt;0.5, "Pending", IF(AX56&lt;0.5, "Complete", "In Progress"))</f>
        <v>#REF!</v>
      </c>
      <c r="AZ56" s="22">
        <v>0</v>
      </c>
      <c r="BA56" s="22" t="e">
        <f t="shared" si="55"/>
        <v>#REF!</v>
      </c>
      <c r="BB56" s="23" t="e">
        <f>IF(SUMPRODUCT($J$67:BA$67,$J56:BA56)&lt;0.5, "Pending", IF(BA56&lt;0.5, "Complete", "In Progress"))</f>
        <v>#REF!</v>
      </c>
      <c r="BC56" s="24"/>
      <c r="BD56" s="25">
        <f>SUMPRODUCT($H$67:X$67,$H56:X56)</f>
        <v>0</v>
      </c>
    </row>
    <row r="57" spans="1:56" x14ac:dyDescent="0.2">
      <c r="A57" s="16"/>
      <c r="B57" s="16"/>
      <c r="C57" s="16"/>
      <c r="D57" s="17"/>
      <c r="E57" s="88"/>
      <c r="F57" s="18" t="s">
        <v>76</v>
      </c>
      <c r="G57" s="19" t="e">
        <f t="shared" ca="1" si="56"/>
        <v>#REF!</v>
      </c>
      <c r="H57" s="20">
        <v>1</v>
      </c>
      <c r="I57" s="21">
        <v>0</v>
      </c>
      <c r="J57" s="22">
        <v>0</v>
      </c>
      <c r="K57" s="22">
        <f t="shared" si="42"/>
        <v>0</v>
      </c>
      <c r="L57" s="23" t="str">
        <f>IF(SUMPRODUCT($J$67:K$67,$J57:K57)&lt;0.5, "Pending", IF(K57&lt;0.5, "Complete", "In Progress"))</f>
        <v>Pending</v>
      </c>
      <c r="M57" s="22">
        <v>0</v>
      </c>
      <c r="N57" s="22">
        <f t="shared" si="43"/>
        <v>0</v>
      </c>
      <c r="O57" s="23" t="str">
        <f>IF(SUMPRODUCT($J$67:N$67,$J57:N57)&lt;0.5, "Pending", IF(N57&lt;0.5, "Complete", "In Progress"))</f>
        <v>Pending</v>
      </c>
      <c r="P57" s="22">
        <v>0</v>
      </c>
      <c r="Q57" s="22">
        <f t="shared" si="44"/>
        <v>0</v>
      </c>
      <c r="R57" s="23" t="str">
        <f>IF(SUMPRODUCT($J$67:Q$67,$J57:Q57)&lt;0.5, "Pending", IF(Q57&lt;0.5, "Complete", "In Progress"))</f>
        <v>Pending</v>
      </c>
      <c r="S57" s="22">
        <v>0</v>
      </c>
      <c r="T57" s="22">
        <f t="shared" si="45"/>
        <v>0</v>
      </c>
      <c r="U57" s="23" t="str">
        <f>IF(SUMPRODUCT($J$67:T$67,$J57:T57)&lt;0.5, "Pending", IF(T57&lt;0.5, "Complete", "In Progress"))</f>
        <v>Pending</v>
      </c>
      <c r="V57" s="22">
        <v>0</v>
      </c>
      <c r="W57" s="22">
        <f t="shared" si="46"/>
        <v>0</v>
      </c>
      <c r="X57" s="23" t="str">
        <f>IF(SUMPRODUCT($J$67:W$67,$J57:W57)&lt;0.5, "Pending", IF(W57&lt;0.5, "Complete", "In Progress"))</f>
        <v>Pending</v>
      </c>
      <c r="Y57" s="22">
        <v>0</v>
      </c>
      <c r="Z57" s="22" t="e">
        <f>MAX(#REF!-Y57,0)</f>
        <v>#REF!</v>
      </c>
      <c r="AA57" s="23" t="e">
        <f>IF(SUMPRODUCT($J$67:Z$67,$J57:Z57)&lt;0.5, "Pending", IF(Z57&lt;0.5, "Complete", "In Progress"))</f>
        <v>#REF!</v>
      </c>
      <c r="AB57" s="22">
        <v>0</v>
      </c>
      <c r="AC57" s="22" t="e">
        <f t="shared" si="47"/>
        <v>#REF!</v>
      </c>
      <c r="AD57" s="23" t="e">
        <f>IF(SUMPRODUCT($J$67:AC$67,$J57:AC57)&lt;0.5, "Pending", IF(AC57&lt;0.5, "Complete", "In Progress"))</f>
        <v>#REF!</v>
      </c>
      <c r="AE57" s="22">
        <v>0</v>
      </c>
      <c r="AF57" s="22" t="e">
        <f t="shared" si="48"/>
        <v>#REF!</v>
      </c>
      <c r="AG57" s="23" t="e">
        <f>IF(SUMPRODUCT($J$67:AF$67,$J57:AF57)&lt;0.5, "Pending", IF(AF57&lt;0.5, "Complete", "In Progress"))</f>
        <v>#REF!</v>
      </c>
      <c r="AH57" s="22">
        <v>0</v>
      </c>
      <c r="AI57" s="22" t="e">
        <f t="shared" si="49"/>
        <v>#REF!</v>
      </c>
      <c r="AJ57" s="23" t="e">
        <f>IF(SUMPRODUCT($J$67:AI$67,$J57:AI57)&lt;0.5, "Pending", IF(AI57&lt;0.5, "Complete", "In Progress"))</f>
        <v>#REF!</v>
      </c>
      <c r="AK57" s="22">
        <v>0</v>
      </c>
      <c r="AL57" s="22" t="e">
        <f t="shared" si="50"/>
        <v>#REF!</v>
      </c>
      <c r="AM57" s="23" t="e">
        <f>IF(SUMPRODUCT($J$67:AL$67,$J57:AL57)&lt;0.5, "Pending", IF(AL57&lt;0.5, "Complete", "In Progress"))</f>
        <v>#REF!</v>
      </c>
      <c r="AN57" s="22">
        <v>0</v>
      </c>
      <c r="AO57" s="22" t="e">
        <f t="shared" si="51"/>
        <v>#REF!</v>
      </c>
      <c r="AP57" s="23" t="e">
        <f>IF(SUMPRODUCT($J$67:AO$67,$J57:AO57)&lt;0.5, "Pending", IF(AO57&lt;0.5, "Complete", "In Progress"))</f>
        <v>#REF!</v>
      </c>
      <c r="AQ57" s="22">
        <v>0</v>
      </c>
      <c r="AR57" s="22" t="e">
        <f t="shared" si="52"/>
        <v>#REF!</v>
      </c>
      <c r="AS57" s="23" t="e">
        <f>IF(SUMPRODUCT($J$67:AR$67,$J57:AR57)&lt;0.5, "Pending", IF(AR57&lt;0.5, "Complete", "In Progress"))</f>
        <v>#REF!</v>
      </c>
      <c r="AT57" s="22">
        <v>0</v>
      </c>
      <c r="AU57" s="22" t="e">
        <f t="shared" si="53"/>
        <v>#REF!</v>
      </c>
      <c r="AV57" s="23" t="e">
        <f>IF(SUMPRODUCT($J$67:AU$67,$J57:AU57)&lt;0.5, "Pending", IF(AU57&lt;0.5, "Complete", "In Progress"))</f>
        <v>#REF!</v>
      </c>
      <c r="AW57" s="22">
        <v>0</v>
      </c>
      <c r="AX57" s="22" t="e">
        <f t="shared" si="54"/>
        <v>#REF!</v>
      </c>
      <c r="AY57" s="23" t="e">
        <f>IF(SUMPRODUCT($J$67:AX$67,$J57:AX57)&lt;0.5, "Pending", IF(AX57&lt;0.5, "Complete", "In Progress"))</f>
        <v>#REF!</v>
      </c>
      <c r="AZ57" s="22">
        <v>0</v>
      </c>
      <c r="BA57" s="22" t="e">
        <f t="shared" si="55"/>
        <v>#REF!</v>
      </c>
      <c r="BB57" s="23" t="e">
        <f>IF(SUMPRODUCT($J$67:BA$67,$J57:BA57)&lt;0.5, "Pending", IF(BA57&lt;0.5, "Complete", "In Progress"))</f>
        <v>#REF!</v>
      </c>
      <c r="BC57" s="24"/>
      <c r="BD57" s="25">
        <f>SUMPRODUCT($H$67:X$67,$H57:X57)</f>
        <v>0</v>
      </c>
    </row>
    <row r="58" spans="1:56" x14ac:dyDescent="0.2">
      <c r="A58" s="16"/>
      <c r="B58" s="16"/>
      <c r="C58" s="16"/>
      <c r="D58" s="17"/>
      <c r="E58" s="88"/>
      <c r="F58" s="18" t="s">
        <v>76</v>
      </c>
      <c r="G58" s="19" t="e">
        <f t="shared" ca="1" si="56"/>
        <v>#REF!</v>
      </c>
      <c r="H58" s="20">
        <v>1</v>
      </c>
      <c r="I58" s="21">
        <v>0</v>
      </c>
      <c r="J58" s="22">
        <v>0</v>
      </c>
      <c r="K58" s="22">
        <f t="shared" si="42"/>
        <v>0</v>
      </c>
      <c r="L58" s="23" t="str">
        <f>IF(SUMPRODUCT($J$67:K$67,$J58:K58)&lt;0.5, "Pending", IF(K58&lt;0.5, "Complete", "In Progress"))</f>
        <v>Pending</v>
      </c>
      <c r="M58" s="22">
        <v>0</v>
      </c>
      <c r="N58" s="22">
        <f t="shared" si="43"/>
        <v>0</v>
      </c>
      <c r="O58" s="23" t="str">
        <f>IF(SUMPRODUCT($J$67:N$67,$J58:N58)&lt;0.5, "Pending", IF(N58&lt;0.5, "Complete", "In Progress"))</f>
        <v>Pending</v>
      </c>
      <c r="P58" s="22">
        <v>0</v>
      </c>
      <c r="Q58" s="22">
        <f t="shared" si="44"/>
        <v>0</v>
      </c>
      <c r="R58" s="23" t="str">
        <f>IF(SUMPRODUCT($J$67:Q$67,$J58:Q58)&lt;0.5, "Pending", IF(Q58&lt;0.5, "Complete", "In Progress"))</f>
        <v>Pending</v>
      </c>
      <c r="S58" s="22">
        <v>0</v>
      </c>
      <c r="T58" s="22">
        <f t="shared" si="45"/>
        <v>0</v>
      </c>
      <c r="U58" s="23" t="str">
        <f>IF(SUMPRODUCT($J$67:T$67,$J58:T58)&lt;0.5, "Pending", IF(T58&lt;0.5, "Complete", "In Progress"))</f>
        <v>Pending</v>
      </c>
      <c r="V58" s="22">
        <v>0</v>
      </c>
      <c r="W58" s="22">
        <f t="shared" si="46"/>
        <v>0</v>
      </c>
      <c r="X58" s="23" t="str">
        <f>IF(SUMPRODUCT($J$67:W$67,$J58:W58)&lt;0.5, "Pending", IF(W58&lt;0.5, "Complete", "In Progress"))</f>
        <v>Pending</v>
      </c>
      <c r="Y58" s="22">
        <v>0</v>
      </c>
      <c r="Z58" s="22" t="e">
        <f>MAX(#REF!-Y58,0)</f>
        <v>#REF!</v>
      </c>
      <c r="AA58" s="23" t="e">
        <f>IF(SUMPRODUCT($J$67:Z$67,$J58:Z58)&lt;0.5, "Pending", IF(Z58&lt;0.5, "Complete", "In Progress"))</f>
        <v>#REF!</v>
      </c>
      <c r="AB58" s="22">
        <v>0</v>
      </c>
      <c r="AC58" s="22" t="e">
        <f t="shared" si="47"/>
        <v>#REF!</v>
      </c>
      <c r="AD58" s="23" t="e">
        <f>IF(SUMPRODUCT($J$67:AC$67,$J58:AC58)&lt;0.5, "Pending", IF(AC58&lt;0.5, "Complete", "In Progress"))</f>
        <v>#REF!</v>
      </c>
      <c r="AE58" s="22">
        <v>0</v>
      </c>
      <c r="AF58" s="22" t="e">
        <f t="shared" si="48"/>
        <v>#REF!</v>
      </c>
      <c r="AG58" s="23" t="e">
        <f>IF(SUMPRODUCT($J$67:AF$67,$J58:AF58)&lt;0.5, "Pending", IF(AF58&lt;0.5, "Complete", "In Progress"))</f>
        <v>#REF!</v>
      </c>
      <c r="AH58" s="22">
        <v>0</v>
      </c>
      <c r="AI58" s="22" t="e">
        <f t="shared" si="49"/>
        <v>#REF!</v>
      </c>
      <c r="AJ58" s="23" t="e">
        <f>IF(SUMPRODUCT($J$67:AI$67,$J58:AI58)&lt;0.5, "Pending", IF(AI58&lt;0.5, "Complete", "In Progress"))</f>
        <v>#REF!</v>
      </c>
      <c r="AK58" s="22">
        <v>0</v>
      </c>
      <c r="AL58" s="22" t="e">
        <f t="shared" si="50"/>
        <v>#REF!</v>
      </c>
      <c r="AM58" s="23" t="e">
        <f>IF(SUMPRODUCT($J$67:AL$67,$J58:AL58)&lt;0.5, "Pending", IF(AL58&lt;0.5, "Complete", "In Progress"))</f>
        <v>#REF!</v>
      </c>
      <c r="AN58" s="22">
        <v>0</v>
      </c>
      <c r="AO58" s="22" t="e">
        <f t="shared" si="51"/>
        <v>#REF!</v>
      </c>
      <c r="AP58" s="23" t="e">
        <f>IF(SUMPRODUCT($J$67:AO$67,$J58:AO58)&lt;0.5, "Pending", IF(AO58&lt;0.5, "Complete", "In Progress"))</f>
        <v>#REF!</v>
      </c>
      <c r="AQ58" s="22">
        <v>0</v>
      </c>
      <c r="AR58" s="22" t="e">
        <f t="shared" si="52"/>
        <v>#REF!</v>
      </c>
      <c r="AS58" s="23" t="e">
        <f>IF(SUMPRODUCT($J$67:AR$67,$J58:AR58)&lt;0.5, "Pending", IF(AR58&lt;0.5, "Complete", "In Progress"))</f>
        <v>#REF!</v>
      </c>
      <c r="AT58" s="22">
        <v>0</v>
      </c>
      <c r="AU58" s="22" t="e">
        <f t="shared" si="53"/>
        <v>#REF!</v>
      </c>
      <c r="AV58" s="23" t="e">
        <f>IF(SUMPRODUCT($J$67:AU$67,$J58:AU58)&lt;0.5, "Pending", IF(AU58&lt;0.5, "Complete", "In Progress"))</f>
        <v>#REF!</v>
      </c>
      <c r="AW58" s="22">
        <v>0</v>
      </c>
      <c r="AX58" s="22" t="e">
        <f t="shared" si="54"/>
        <v>#REF!</v>
      </c>
      <c r="AY58" s="23" t="e">
        <f>IF(SUMPRODUCT($J$67:AX$67,$J58:AX58)&lt;0.5, "Pending", IF(AX58&lt;0.5, "Complete", "In Progress"))</f>
        <v>#REF!</v>
      </c>
      <c r="AZ58" s="22">
        <v>0</v>
      </c>
      <c r="BA58" s="22" t="e">
        <f t="shared" si="55"/>
        <v>#REF!</v>
      </c>
      <c r="BB58" s="23" t="e">
        <f>IF(SUMPRODUCT($J$67:BA$67,$J58:BA58)&lt;0.5, "Pending", IF(BA58&lt;0.5, "Complete", "In Progress"))</f>
        <v>#REF!</v>
      </c>
      <c r="BC58" s="24"/>
      <c r="BD58" s="25">
        <f>SUMPRODUCT($H$67:X$67,$H58:X58)</f>
        <v>0</v>
      </c>
    </row>
    <row r="59" spans="1:56" x14ac:dyDescent="0.2">
      <c r="A59" s="16"/>
      <c r="B59" s="16"/>
      <c r="C59" s="16"/>
      <c r="D59" s="17"/>
      <c r="E59" s="88"/>
      <c r="F59" s="18" t="s">
        <v>76</v>
      </c>
      <c r="G59" s="19" t="e">
        <f t="shared" ca="1" si="56"/>
        <v>#REF!</v>
      </c>
      <c r="H59" s="20">
        <v>1</v>
      </c>
      <c r="I59" s="21">
        <v>0</v>
      </c>
      <c r="J59" s="22">
        <v>0</v>
      </c>
      <c r="K59" s="22">
        <f t="shared" si="42"/>
        <v>0</v>
      </c>
      <c r="L59" s="23" t="str">
        <f>IF(SUMPRODUCT($J$67:K$67,$J59:K59)&lt;0.5, "Pending", IF(K59&lt;0.5, "Complete", "In Progress"))</f>
        <v>Pending</v>
      </c>
      <c r="M59" s="22">
        <v>0</v>
      </c>
      <c r="N59" s="22">
        <f t="shared" si="43"/>
        <v>0</v>
      </c>
      <c r="O59" s="23" t="str">
        <f>IF(SUMPRODUCT($J$67:N$67,$J59:N59)&lt;0.5, "Pending", IF(N59&lt;0.5, "Complete", "In Progress"))</f>
        <v>Pending</v>
      </c>
      <c r="P59" s="22">
        <v>0</v>
      </c>
      <c r="Q59" s="22">
        <f t="shared" si="44"/>
        <v>0</v>
      </c>
      <c r="R59" s="23" t="str">
        <f>IF(SUMPRODUCT($J$67:Q$67,$J59:Q59)&lt;0.5, "Pending", IF(Q59&lt;0.5, "Complete", "In Progress"))</f>
        <v>Pending</v>
      </c>
      <c r="S59" s="22">
        <v>0</v>
      </c>
      <c r="T59" s="22">
        <f t="shared" si="45"/>
        <v>0</v>
      </c>
      <c r="U59" s="23" t="str">
        <f>IF(SUMPRODUCT($J$67:T$67,$J59:T59)&lt;0.5, "Pending", IF(T59&lt;0.5, "Complete", "In Progress"))</f>
        <v>Pending</v>
      </c>
      <c r="V59" s="22">
        <v>0</v>
      </c>
      <c r="W59" s="22">
        <f t="shared" si="46"/>
        <v>0</v>
      </c>
      <c r="X59" s="23" t="str">
        <f>IF(SUMPRODUCT($J$67:W$67,$J59:W59)&lt;0.5, "Pending", IF(W59&lt;0.5, "Complete", "In Progress"))</f>
        <v>Pending</v>
      </c>
      <c r="Y59" s="22">
        <v>0</v>
      </c>
      <c r="Z59" s="22" t="e">
        <f>MAX(#REF!-Y59,0)</f>
        <v>#REF!</v>
      </c>
      <c r="AA59" s="23" t="e">
        <f>IF(SUMPRODUCT($J$67:Z$67,$J59:Z59)&lt;0.5, "Pending", IF(Z59&lt;0.5, "Complete", "In Progress"))</f>
        <v>#REF!</v>
      </c>
      <c r="AB59" s="22">
        <v>0</v>
      </c>
      <c r="AC59" s="22" t="e">
        <f t="shared" si="47"/>
        <v>#REF!</v>
      </c>
      <c r="AD59" s="23" t="e">
        <f>IF(SUMPRODUCT($J$67:AC$67,$J59:AC59)&lt;0.5, "Pending", IF(AC59&lt;0.5, "Complete", "In Progress"))</f>
        <v>#REF!</v>
      </c>
      <c r="AE59" s="22">
        <v>0</v>
      </c>
      <c r="AF59" s="22" t="e">
        <f t="shared" si="48"/>
        <v>#REF!</v>
      </c>
      <c r="AG59" s="23" t="e">
        <f>IF(SUMPRODUCT($J$67:AF$67,$J59:AF59)&lt;0.5, "Pending", IF(AF59&lt;0.5, "Complete", "In Progress"))</f>
        <v>#REF!</v>
      </c>
      <c r="AH59" s="22">
        <v>0</v>
      </c>
      <c r="AI59" s="22" t="e">
        <f t="shared" si="49"/>
        <v>#REF!</v>
      </c>
      <c r="AJ59" s="23" t="e">
        <f>IF(SUMPRODUCT($J$67:AI$67,$J59:AI59)&lt;0.5, "Pending", IF(AI59&lt;0.5, "Complete", "In Progress"))</f>
        <v>#REF!</v>
      </c>
      <c r="AK59" s="22">
        <v>0</v>
      </c>
      <c r="AL59" s="22" t="e">
        <f t="shared" si="50"/>
        <v>#REF!</v>
      </c>
      <c r="AM59" s="23" t="e">
        <f>IF(SUMPRODUCT($J$67:AL$67,$J59:AL59)&lt;0.5, "Pending", IF(AL59&lt;0.5, "Complete", "In Progress"))</f>
        <v>#REF!</v>
      </c>
      <c r="AN59" s="22">
        <v>0</v>
      </c>
      <c r="AO59" s="22" t="e">
        <f t="shared" si="51"/>
        <v>#REF!</v>
      </c>
      <c r="AP59" s="23" t="e">
        <f>IF(SUMPRODUCT($J$67:AO$67,$J59:AO59)&lt;0.5, "Pending", IF(AO59&lt;0.5, "Complete", "In Progress"))</f>
        <v>#REF!</v>
      </c>
      <c r="AQ59" s="22">
        <v>0</v>
      </c>
      <c r="AR59" s="22" t="e">
        <f t="shared" si="52"/>
        <v>#REF!</v>
      </c>
      <c r="AS59" s="23" t="e">
        <f>IF(SUMPRODUCT($J$67:AR$67,$J59:AR59)&lt;0.5, "Pending", IF(AR59&lt;0.5, "Complete", "In Progress"))</f>
        <v>#REF!</v>
      </c>
      <c r="AT59" s="22">
        <v>0</v>
      </c>
      <c r="AU59" s="22" t="e">
        <f t="shared" si="53"/>
        <v>#REF!</v>
      </c>
      <c r="AV59" s="23" t="e">
        <f>IF(SUMPRODUCT($J$67:AU$67,$J59:AU59)&lt;0.5, "Pending", IF(AU59&lt;0.5, "Complete", "In Progress"))</f>
        <v>#REF!</v>
      </c>
      <c r="AW59" s="22">
        <v>0</v>
      </c>
      <c r="AX59" s="22" t="e">
        <f t="shared" si="54"/>
        <v>#REF!</v>
      </c>
      <c r="AY59" s="23" t="e">
        <f>IF(SUMPRODUCT($J$67:AX$67,$J59:AX59)&lt;0.5, "Pending", IF(AX59&lt;0.5, "Complete", "In Progress"))</f>
        <v>#REF!</v>
      </c>
      <c r="AZ59" s="22">
        <v>0</v>
      </c>
      <c r="BA59" s="22" t="e">
        <f t="shared" si="55"/>
        <v>#REF!</v>
      </c>
      <c r="BB59" s="23" t="e">
        <f>IF(SUMPRODUCT($J$67:BA$67,$J59:BA59)&lt;0.5, "Pending", IF(BA59&lt;0.5, "Complete", "In Progress"))</f>
        <v>#REF!</v>
      </c>
      <c r="BC59" s="24"/>
      <c r="BD59" s="25">
        <f>SUMPRODUCT($H$67:X$67,$H59:X59)</f>
        <v>0</v>
      </c>
    </row>
    <row r="60" spans="1:56" x14ac:dyDescent="0.2">
      <c r="A60" s="16"/>
      <c r="B60" s="16"/>
      <c r="C60" s="16"/>
      <c r="D60" s="17"/>
      <c r="E60" s="88"/>
      <c r="F60" s="18" t="s">
        <v>76</v>
      </c>
      <c r="G60" s="19" t="e">
        <f t="shared" ca="1" si="56"/>
        <v>#REF!</v>
      </c>
      <c r="H60" s="20">
        <v>1</v>
      </c>
      <c r="I60" s="21">
        <v>0</v>
      </c>
      <c r="J60" s="22">
        <v>0</v>
      </c>
      <c r="K60" s="22">
        <f t="shared" si="42"/>
        <v>0</v>
      </c>
      <c r="L60" s="23" t="str">
        <f>IF(SUMPRODUCT($J$67:K$67,$J60:K60)&lt;0.5, "Pending", IF(K60&lt;0.5, "Complete", "In Progress"))</f>
        <v>Pending</v>
      </c>
      <c r="M60" s="22">
        <v>0</v>
      </c>
      <c r="N60" s="22">
        <f t="shared" si="43"/>
        <v>0</v>
      </c>
      <c r="O60" s="23" t="str">
        <f>IF(SUMPRODUCT($J$67:N$67,$J60:N60)&lt;0.5, "Pending", IF(N60&lt;0.5, "Complete", "In Progress"))</f>
        <v>Pending</v>
      </c>
      <c r="P60" s="22">
        <v>0</v>
      </c>
      <c r="Q60" s="22">
        <f t="shared" si="44"/>
        <v>0</v>
      </c>
      <c r="R60" s="23" t="str">
        <f>IF(SUMPRODUCT($J$67:Q$67,$J60:Q60)&lt;0.5, "Pending", IF(Q60&lt;0.5, "Complete", "In Progress"))</f>
        <v>Pending</v>
      </c>
      <c r="S60" s="22">
        <v>0</v>
      </c>
      <c r="T60" s="22">
        <f t="shared" si="45"/>
        <v>0</v>
      </c>
      <c r="U60" s="23" t="str">
        <f>IF(SUMPRODUCT($J$67:T$67,$J60:T60)&lt;0.5, "Pending", IF(T60&lt;0.5, "Complete", "In Progress"))</f>
        <v>Pending</v>
      </c>
      <c r="V60" s="22">
        <v>0</v>
      </c>
      <c r="W60" s="22">
        <f t="shared" si="46"/>
        <v>0</v>
      </c>
      <c r="X60" s="23" t="str">
        <f>IF(SUMPRODUCT($J$67:W$67,$J60:W60)&lt;0.5, "Pending", IF(W60&lt;0.5, "Complete", "In Progress"))</f>
        <v>Pending</v>
      </c>
      <c r="Y60" s="22">
        <v>0</v>
      </c>
      <c r="Z60" s="22" t="e">
        <f>MAX(#REF!-Y60,0)</f>
        <v>#REF!</v>
      </c>
      <c r="AA60" s="23" t="e">
        <f>IF(SUMPRODUCT($J$67:Z$67,$J60:Z60)&lt;0.5, "Pending", IF(Z60&lt;0.5, "Complete", "In Progress"))</f>
        <v>#REF!</v>
      </c>
      <c r="AB60" s="22">
        <v>0</v>
      </c>
      <c r="AC60" s="22" t="e">
        <f t="shared" si="47"/>
        <v>#REF!</v>
      </c>
      <c r="AD60" s="23" t="e">
        <f>IF(SUMPRODUCT($J$67:AC$67,$J60:AC60)&lt;0.5, "Pending", IF(AC60&lt;0.5, "Complete", "In Progress"))</f>
        <v>#REF!</v>
      </c>
      <c r="AE60" s="22">
        <v>0</v>
      </c>
      <c r="AF60" s="22" t="e">
        <f t="shared" si="48"/>
        <v>#REF!</v>
      </c>
      <c r="AG60" s="23" t="e">
        <f>IF(SUMPRODUCT($J$67:AF$67,$J60:AF60)&lt;0.5, "Pending", IF(AF60&lt;0.5, "Complete", "In Progress"))</f>
        <v>#REF!</v>
      </c>
      <c r="AH60" s="22">
        <v>0</v>
      </c>
      <c r="AI60" s="22" t="e">
        <f t="shared" si="49"/>
        <v>#REF!</v>
      </c>
      <c r="AJ60" s="23" t="e">
        <f>IF(SUMPRODUCT($J$67:AI$67,$J60:AI60)&lt;0.5, "Pending", IF(AI60&lt;0.5, "Complete", "In Progress"))</f>
        <v>#REF!</v>
      </c>
      <c r="AK60" s="22">
        <v>0</v>
      </c>
      <c r="AL60" s="22" t="e">
        <f t="shared" si="50"/>
        <v>#REF!</v>
      </c>
      <c r="AM60" s="23" t="e">
        <f>IF(SUMPRODUCT($J$67:AL$67,$J60:AL60)&lt;0.5, "Pending", IF(AL60&lt;0.5, "Complete", "In Progress"))</f>
        <v>#REF!</v>
      </c>
      <c r="AN60" s="22">
        <v>0</v>
      </c>
      <c r="AO60" s="22" t="e">
        <f t="shared" si="51"/>
        <v>#REF!</v>
      </c>
      <c r="AP60" s="23" t="e">
        <f>IF(SUMPRODUCT($J$67:AO$67,$J60:AO60)&lt;0.5, "Pending", IF(AO60&lt;0.5, "Complete", "In Progress"))</f>
        <v>#REF!</v>
      </c>
      <c r="AQ60" s="22">
        <v>0</v>
      </c>
      <c r="AR60" s="22" t="e">
        <f t="shared" si="52"/>
        <v>#REF!</v>
      </c>
      <c r="AS60" s="23" t="e">
        <f>IF(SUMPRODUCT($J$67:AR$67,$J60:AR60)&lt;0.5, "Pending", IF(AR60&lt;0.5, "Complete", "In Progress"))</f>
        <v>#REF!</v>
      </c>
      <c r="AT60" s="22">
        <v>0</v>
      </c>
      <c r="AU60" s="22" t="e">
        <f t="shared" si="53"/>
        <v>#REF!</v>
      </c>
      <c r="AV60" s="23" t="e">
        <f>IF(SUMPRODUCT($J$67:AU$67,$J60:AU60)&lt;0.5, "Pending", IF(AU60&lt;0.5, "Complete", "In Progress"))</f>
        <v>#REF!</v>
      </c>
      <c r="AW60" s="22">
        <v>0</v>
      </c>
      <c r="AX60" s="22" t="e">
        <f t="shared" si="54"/>
        <v>#REF!</v>
      </c>
      <c r="AY60" s="23" t="e">
        <f>IF(SUMPRODUCT($J$67:AX$67,$J60:AX60)&lt;0.5, "Pending", IF(AX60&lt;0.5, "Complete", "In Progress"))</f>
        <v>#REF!</v>
      </c>
      <c r="AZ60" s="22">
        <v>0</v>
      </c>
      <c r="BA60" s="22" t="e">
        <f t="shared" si="55"/>
        <v>#REF!</v>
      </c>
      <c r="BB60" s="23" t="e">
        <f>IF(SUMPRODUCT($J$67:BA$67,$J60:BA60)&lt;0.5, "Pending", IF(BA60&lt;0.5, "Complete", "In Progress"))</f>
        <v>#REF!</v>
      </c>
      <c r="BC60" s="24"/>
      <c r="BD60" s="25">
        <f>SUMPRODUCT($H$67:X$67,$H60:X60)</f>
        <v>0</v>
      </c>
    </row>
    <row r="61" spans="1:56" x14ac:dyDescent="0.2">
      <c r="A61" s="16"/>
      <c r="B61" s="16"/>
      <c r="C61" s="16"/>
      <c r="D61" s="17"/>
      <c r="E61" s="88"/>
      <c r="F61" s="18" t="s">
        <v>76</v>
      </c>
      <c r="G61" s="19" t="e">
        <f t="shared" ca="1" si="56"/>
        <v>#REF!</v>
      </c>
      <c r="H61" s="20">
        <v>1</v>
      </c>
      <c r="I61" s="21">
        <v>0</v>
      </c>
      <c r="J61" s="22">
        <v>0</v>
      </c>
      <c r="K61" s="22">
        <f t="shared" si="42"/>
        <v>0</v>
      </c>
      <c r="L61" s="23" t="str">
        <f>IF(SUMPRODUCT($J$67:K$67,$J61:K61)&lt;0.5, "Pending", IF(K61&lt;0.5, "Complete", "In Progress"))</f>
        <v>Pending</v>
      </c>
      <c r="M61" s="22">
        <v>0</v>
      </c>
      <c r="N61" s="22">
        <f t="shared" si="43"/>
        <v>0</v>
      </c>
      <c r="O61" s="23" t="str">
        <f>IF(SUMPRODUCT($J$67:N$67,$J61:N61)&lt;0.5, "Pending", IF(N61&lt;0.5, "Complete", "In Progress"))</f>
        <v>Pending</v>
      </c>
      <c r="P61" s="22">
        <v>0</v>
      </c>
      <c r="Q61" s="22">
        <f t="shared" si="44"/>
        <v>0</v>
      </c>
      <c r="R61" s="23" t="str">
        <f>IF(SUMPRODUCT($J$67:Q$67,$J61:Q61)&lt;0.5, "Pending", IF(Q61&lt;0.5, "Complete", "In Progress"))</f>
        <v>Pending</v>
      </c>
      <c r="S61" s="22">
        <v>0</v>
      </c>
      <c r="T61" s="22">
        <f t="shared" si="45"/>
        <v>0</v>
      </c>
      <c r="U61" s="23" t="str">
        <f>IF(SUMPRODUCT($J$67:T$67,$J61:T61)&lt;0.5, "Pending", IF(T61&lt;0.5, "Complete", "In Progress"))</f>
        <v>Pending</v>
      </c>
      <c r="V61" s="22">
        <v>0</v>
      </c>
      <c r="W61" s="22">
        <f t="shared" si="46"/>
        <v>0</v>
      </c>
      <c r="X61" s="23" t="str">
        <f>IF(SUMPRODUCT($J$67:W$67,$J61:W61)&lt;0.5, "Pending", IF(W61&lt;0.5, "Complete", "In Progress"))</f>
        <v>Pending</v>
      </c>
      <c r="Y61" s="22">
        <v>0</v>
      </c>
      <c r="Z61" s="22" t="e">
        <f>MAX(#REF!-Y61,0)</f>
        <v>#REF!</v>
      </c>
      <c r="AA61" s="23" t="e">
        <f>IF(SUMPRODUCT($J$67:Z$67,$J61:Z61)&lt;0.5, "Pending", IF(Z61&lt;0.5, "Complete", "In Progress"))</f>
        <v>#REF!</v>
      </c>
      <c r="AB61" s="22">
        <v>0</v>
      </c>
      <c r="AC61" s="22" t="e">
        <f t="shared" si="47"/>
        <v>#REF!</v>
      </c>
      <c r="AD61" s="23" t="e">
        <f>IF(SUMPRODUCT($J$67:AC$67,$J61:AC61)&lt;0.5, "Pending", IF(AC61&lt;0.5, "Complete", "In Progress"))</f>
        <v>#REF!</v>
      </c>
      <c r="AE61" s="22">
        <v>0</v>
      </c>
      <c r="AF61" s="22" t="e">
        <f t="shared" si="48"/>
        <v>#REF!</v>
      </c>
      <c r="AG61" s="23" t="e">
        <f>IF(SUMPRODUCT($J$67:AF$67,$J61:AF61)&lt;0.5, "Pending", IF(AF61&lt;0.5, "Complete", "In Progress"))</f>
        <v>#REF!</v>
      </c>
      <c r="AH61" s="22">
        <v>0</v>
      </c>
      <c r="AI61" s="22" t="e">
        <f t="shared" si="49"/>
        <v>#REF!</v>
      </c>
      <c r="AJ61" s="23" t="e">
        <f>IF(SUMPRODUCT($J$67:AI$67,$J61:AI61)&lt;0.5, "Pending", IF(AI61&lt;0.5, "Complete", "In Progress"))</f>
        <v>#REF!</v>
      </c>
      <c r="AK61" s="22">
        <v>0</v>
      </c>
      <c r="AL61" s="22" t="e">
        <f t="shared" si="50"/>
        <v>#REF!</v>
      </c>
      <c r="AM61" s="23" t="e">
        <f>IF(SUMPRODUCT($J$67:AL$67,$J61:AL61)&lt;0.5, "Pending", IF(AL61&lt;0.5, "Complete", "In Progress"))</f>
        <v>#REF!</v>
      </c>
      <c r="AN61" s="22">
        <v>0</v>
      </c>
      <c r="AO61" s="22" t="e">
        <f t="shared" si="51"/>
        <v>#REF!</v>
      </c>
      <c r="AP61" s="23" t="e">
        <f>IF(SUMPRODUCT($J$67:AO$67,$J61:AO61)&lt;0.5, "Pending", IF(AO61&lt;0.5, "Complete", "In Progress"))</f>
        <v>#REF!</v>
      </c>
      <c r="AQ61" s="22">
        <v>0</v>
      </c>
      <c r="AR61" s="22" t="e">
        <f t="shared" si="52"/>
        <v>#REF!</v>
      </c>
      <c r="AS61" s="23" t="e">
        <f>IF(SUMPRODUCT($J$67:AR$67,$J61:AR61)&lt;0.5, "Pending", IF(AR61&lt;0.5, "Complete", "In Progress"))</f>
        <v>#REF!</v>
      </c>
      <c r="AT61" s="22">
        <v>0</v>
      </c>
      <c r="AU61" s="22" t="e">
        <f t="shared" si="53"/>
        <v>#REF!</v>
      </c>
      <c r="AV61" s="23" t="e">
        <f>IF(SUMPRODUCT($J$67:AU$67,$J61:AU61)&lt;0.5, "Pending", IF(AU61&lt;0.5, "Complete", "In Progress"))</f>
        <v>#REF!</v>
      </c>
      <c r="AW61" s="22">
        <v>0</v>
      </c>
      <c r="AX61" s="22" t="e">
        <f t="shared" si="54"/>
        <v>#REF!</v>
      </c>
      <c r="AY61" s="23" t="e">
        <f>IF(SUMPRODUCT($J$67:AX$67,$J61:AX61)&lt;0.5, "Pending", IF(AX61&lt;0.5, "Complete", "In Progress"))</f>
        <v>#REF!</v>
      </c>
      <c r="AZ61" s="22">
        <v>0</v>
      </c>
      <c r="BA61" s="22" t="e">
        <f t="shared" si="55"/>
        <v>#REF!</v>
      </c>
      <c r="BB61" s="23" t="e">
        <f>IF(SUMPRODUCT($J$67:BA$67,$J61:BA61)&lt;0.5, "Pending", IF(BA61&lt;0.5, "Complete", "In Progress"))</f>
        <v>#REF!</v>
      </c>
      <c r="BC61" s="24"/>
      <c r="BD61" s="25">
        <f>SUMPRODUCT($H$67:X$67,$H61:X61)</f>
        <v>0</v>
      </c>
    </row>
    <row r="62" spans="1:56" x14ac:dyDescent="0.2">
      <c r="A62" s="16"/>
      <c r="B62" s="16"/>
      <c r="C62" s="16"/>
      <c r="D62" s="17"/>
      <c r="E62" s="88"/>
      <c r="F62" s="18" t="s">
        <v>76</v>
      </c>
      <c r="G62" s="19" t="e">
        <f t="shared" ca="1" si="56"/>
        <v>#REF!</v>
      </c>
      <c r="H62" s="20">
        <v>1</v>
      </c>
      <c r="I62" s="21">
        <v>0</v>
      </c>
      <c r="J62" s="22">
        <v>0</v>
      </c>
      <c r="K62" s="22">
        <f t="shared" si="42"/>
        <v>0</v>
      </c>
      <c r="L62" s="23" t="str">
        <f>IF(SUMPRODUCT($J$67:K$67,$J62:K62)&lt;0.5, "Pending", IF(K62&lt;0.5, "Complete", "In Progress"))</f>
        <v>Pending</v>
      </c>
      <c r="M62" s="22">
        <v>0</v>
      </c>
      <c r="N62" s="22">
        <f t="shared" si="43"/>
        <v>0</v>
      </c>
      <c r="O62" s="23" t="str">
        <f>IF(SUMPRODUCT($J$67:N$67,$J62:N62)&lt;0.5, "Pending", IF(N62&lt;0.5, "Complete", "In Progress"))</f>
        <v>Pending</v>
      </c>
      <c r="P62" s="22">
        <v>0</v>
      </c>
      <c r="Q62" s="22">
        <f t="shared" si="44"/>
        <v>0</v>
      </c>
      <c r="R62" s="23" t="str">
        <f>IF(SUMPRODUCT($J$67:Q$67,$J62:Q62)&lt;0.5, "Pending", IF(Q62&lt;0.5, "Complete", "In Progress"))</f>
        <v>Pending</v>
      </c>
      <c r="S62" s="22">
        <v>0</v>
      </c>
      <c r="T62" s="22">
        <f t="shared" si="45"/>
        <v>0</v>
      </c>
      <c r="U62" s="23" t="str">
        <f>IF(SUMPRODUCT($J$67:T$67,$J62:T62)&lt;0.5, "Pending", IF(T62&lt;0.5, "Complete", "In Progress"))</f>
        <v>Pending</v>
      </c>
      <c r="V62" s="22">
        <v>0</v>
      </c>
      <c r="W62" s="22">
        <f t="shared" si="46"/>
        <v>0</v>
      </c>
      <c r="X62" s="23" t="str">
        <f>IF(SUMPRODUCT($J$67:W$67,$J62:W62)&lt;0.5, "Pending", IF(W62&lt;0.5, "Complete", "In Progress"))</f>
        <v>Pending</v>
      </c>
      <c r="Y62" s="22">
        <v>0</v>
      </c>
      <c r="Z62" s="22" t="e">
        <f>MAX(#REF!-Y62,0)</f>
        <v>#REF!</v>
      </c>
      <c r="AA62" s="23" t="e">
        <f>IF(SUMPRODUCT($J$67:Z$67,$J62:Z62)&lt;0.5, "Pending", IF(Z62&lt;0.5, "Complete", "In Progress"))</f>
        <v>#REF!</v>
      </c>
      <c r="AB62" s="22">
        <v>0</v>
      </c>
      <c r="AC62" s="22" t="e">
        <f t="shared" si="47"/>
        <v>#REF!</v>
      </c>
      <c r="AD62" s="23" t="e">
        <f>IF(SUMPRODUCT($J$67:AC$67,$J62:AC62)&lt;0.5, "Pending", IF(AC62&lt;0.5, "Complete", "In Progress"))</f>
        <v>#REF!</v>
      </c>
      <c r="AE62" s="22">
        <v>0</v>
      </c>
      <c r="AF62" s="22" t="e">
        <f t="shared" si="48"/>
        <v>#REF!</v>
      </c>
      <c r="AG62" s="23" t="e">
        <f>IF(SUMPRODUCT($J$67:AF$67,$J62:AF62)&lt;0.5, "Pending", IF(AF62&lt;0.5, "Complete", "In Progress"))</f>
        <v>#REF!</v>
      </c>
      <c r="AH62" s="22">
        <v>0</v>
      </c>
      <c r="AI62" s="22" t="e">
        <f t="shared" si="49"/>
        <v>#REF!</v>
      </c>
      <c r="AJ62" s="23" t="e">
        <f>IF(SUMPRODUCT($J$67:AI$67,$J62:AI62)&lt;0.5, "Pending", IF(AI62&lt;0.5, "Complete", "In Progress"))</f>
        <v>#REF!</v>
      </c>
      <c r="AK62" s="22">
        <v>0</v>
      </c>
      <c r="AL62" s="22" t="e">
        <f t="shared" si="50"/>
        <v>#REF!</v>
      </c>
      <c r="AM62" s="23" t="e">
        <f>IF(SUMPRODUCT($J$67:AL$67,$J62:AL62)&lt;0.5, "Pending", IF(AL62&lt;0.5, "Complete", "In Progress"))</f>
        <v>#REF!</v>
      </c>
      <c r="AN62" s="22">
        <v>0</v>
      </c>
      <c r="AO62" s="22" t="e">
        <f t="shared" si="51"/>
        <v>#REF!</v>
      </c>
      <c r="AP62" s="23" t="e">
        <f>IF(SUMPRODUCT($J$67:AO$67,$J62:AO62)&lt;0.5, "Pending", IF(AO62&lt;0.5, "Complete", "In Progress"))</f>
        <v>#REF!</v>
      </c>
      <c r="AQ62" s="22">
        <v>0</v>
      </c>
      <c r="AR62" s="22" t="e">
        <f t="shared" si="52"/>
        <v>#REF!</v>
      </c>
      <c r="AS62" s="23" t="e">
        <f>IF(SUMPRODUCT($J$67:AR$67,$J62:AR62)&lt;0.5, "Pending", IF(AR62&lt;0.5, "Complete", "In Progress"))</f>
        <v>#REF!</v>
      </c>
      <c r="AT62" s="22">
        <v>0</v>
      </c>
      <c r="AU62" s="22" t="e">
        <f t="shared" si="53"/>
        <v>#REF!</v>
      </c>
      <c r="AV62" s="23" t="e">
        <f>IF(SUMPRODUCT($J$67:AU$67,$J62:AU62)&lt;0.5, "Pending", IF(AU62&lt;0.5, "Complete", "In Progress"))</f>
        <v>#REF!</v>
      </c>
      <c r="AW62" s="22">
        <v>0</v>
      </c>
      <c r="AX62" s="22" t="e">
        <f t="shared" si="54"/>
        <v>#REF!</v>
      </c>
      <c r="AY62" s="23" t="e">
        <f>IF(SUMPRODUCT($J$67:AX$67,$J62:AX62)&lt;0.5, "Pending", IF(AX62&lt;0.5, "Complete", "In Progress"))</f>
        <v>#REF!</v>
      </c>
      <c r="AZ62" s="22">
        <v>0</v>
      </c>
      <c r="BA62" s="22" t="e">
        <f t="shared" si="55"/>
        <v>#REF!</v>
      </c>
      <c r="BB62" s="23" t="e">
        <f>IF(SUMPRODUCT($J$67:BA$67,$J62:BA62)&lt;0.5, "Pending", IF(BA62&lt;0.5, "Complete", "In Progress"))</f>
        <v>#REF!</v>
      </c>
      <c r="BC62" s="24"/>
      <c r="BD62" s="25">
        <f>SUMPRODUCT($H$67:X$67,$H62:X62)</f>
        <v>0</v>
      </c>
    </row>
    <row r="63" spans="1:56" x14ac:dyDescent="0.2">
      <c r="A63" s="16"/>
      <c r="B63" s="16"/>
      <c r="C63" s="16"/>
      <c r="D63" s="17"/>
      <c r="E63" s="88"/>
      <c r="F63" s="18" t="s">
        <v>76</v>
      </c>
      <c r="G63" s="19" t="e">
        <f t="shared" ca="1" si="56"/>
        <v>#REF!</v>
      </c>
      <c r="H63" s="20">
        <v>1</v>
      </c>
      <c r="I63" s="21">
        <v>0</v>
      </c>
      <c r="J63" s="22">
        <v>0</v>
      </c>
      <c r="K63" s="22">
        <f t="shared" si="42"/>
        <v>0</v>
      </c>
      <c r="L63" s="23" t="str">
        <f>IF(SUMPRODUCT($J$67:K$67,$J63:K63)&lt;0.5, "Pending", IF(K63&lt;0.5, "Complete", "In Progress"))</f>
        <v>Pending</v>
      </c>
      <c r="M63" s="22">
        <v>0</v>
      </c>
      <c r="N63" s="22">
        <f t="shared" si="43"/>
        <v>0</v>
      </c>
      <c r="O63" s="23" t="str">
        <f>IF(SUMPRODUCT($J$67:N$67,$J63:N63)&lt;0.5, "Pending", IF(N63&lt;0.5, "Complete", "In Progress"))</f>
        <v>Pending</v>
      </c>
      <c r="P63" s="22">
        <v>0</v>
      </c>
      <c r="Q63" s="22">
        <f t="shared" si="44"/>
        <v>0</v>
      </c>
      <c r="R63" s="23" t="str">
        <f>IF(SUMPRODUCT($J$67:Q$67,$J63:Q63)&lt;0.5, "Pending", IF(Q63&lt;0.5, "Complete", "In Progress"))</f>
        <v>Pending</v>
      </c>
      <c r="S63" s="22">
        <v>0</v>
      </c>
      <c r="T63" s="22">
        <f t="shared" si="45"/>
        <v>0</v>
      </c>
      <c r="U63" s="23" t="str">
        <f>IF(SUMPRODUCT($J$67:T$67,$J63:T63)&lt;0.5, "Pending", IF(T63&lt;0.5, "Complete", "In Progress"))</f>
        <v>Pending</v>
      </c>
      <c r="V63" s="22">
        <v>0</v>
      </c>
      <c r="W63" s="22">
        <f t="shared" si="46"/>
        <v>0</v>
      </c>
      <c r="X63" s="23" t="str">
        <f>IF(SUMPRODUCT($J$67:W$67,$J63:W63)&lt;0.5, "Pending", IF(W63&lt;0.5, "Complete", "In Progress"))</f>
        <v>Pending</v>
      </c>
      <c r="Y63" s="22">
        <v>0</v>
      </c>
      <c r="Z63" s="22" t="e">
        <f>MAX(#REF!-Y63,0)</f>
        <v>#REF!</v>
      </c>
      <c r="AA63" s="23" t="e">
        <f>IF(SUMPRODUCT($J$67:Z$67,$J63:Z63)&lt;0.5, "Pending", IF(Z63&lt;0.5, "Complete", "In Progress"))</f>
        <v>#REF!</v>
      </c>
      <c r="AB63" s="22">
        <v>0</v>
      </c>
      <c r="AC63" s="22" t="e">
        <f t="shared" si="47"/>
        <v>#REF!</v>
      </c>
      <c r="AD63" s="23" t="e">
        <f>IF(SUMPRODUCT($J$67:AC$67,$J63:AC63)&lt;0.5, "Pending", IF(AC63&lt;0.5, "Complete", "In Progress"))</f>
        <v>#REF!</v>
      </c>
      <c r="AE63" s="22">
        <v>0</v>
      </c>
      <c r="AF63" s="22" t="e">
        <f t="shared" si="48"/>
        <v>#REF!</v>
      </c>
      <c r="AG63" s="23" t="e">
        <f>IF(SUMPRODUCT($J$67:AF$67,$J63:AF63)&lt;0.5, "Pending", IF(AF63&lt;0.5, "Complete", "In Progress"))</f>
        <v>#REF!</v>
      </c>
      <c r="AH63" s="22">
        <v>0</v>
      </c>
      <c r="AI63" s="22" t="e">
        <f t="shared" si="49"/>
        <v>#REF!</v>
      </c>
      <c r="AJ63" s="23" t="e">
        <f>IF(SUMPRODUCT($J$67:AI$67,$J63:AI63)&lt;0.5, "Pending", IF(AI63&lt;0.5, "Complete", "In Progress"))</f>
        <v>#REF!</v>
      </c>
      <c r="AK63" s="22">
        <v>0</v>
      </c>
      <c r="AL63" s="22" t="e">
        <f t="shared" si="50"/>
        <v>#REF!</v>
      </c>
      <c r="AM63" s="23" t="e">
        <f>IF(SUMPRODUCT($J$67:AL$67,$J63:AL63)&lt;0.5, "Pending", IF(AL63&lt;0.5, "Complete", "In Progress"))</f>
        <v>#REF!</v>
      </c>
      <c r="AN63" s="22">
        <v>0</v>
      </c>
      <c r="AO63" s="22" t="e">
        <f t="shared" si="51"/>
        <v>#REF!</v>
      </c>
      <c r="AP63" s="23" t="e">
        <f>IF(SUMPRODUCT($J$67:AO$67,$J63:AO63)&lt;0.5, "Pending", IF(AO63&lt;0.5, "Complete", "In Progress"))</f>
        <v>#REF!</v>
      </c>
      <c r="AQ63" s="22">
        <v>0</v>
      </c>
      <c r="AR63" s="22" t="e">
        <f t="shared" si="52"/>
        <v>#REF!</v>
      </c>
      <c r="AS63" s="23" t="e">
        <f>IF(SUMPRODUCT($J$67:AR$67,$J63:AR63)&lt;0.5, "Pending", IF(AR63&lt;0.5, "Complete", "In Progress"))</f>
        <v>#REF!</v>
      </c>
      <c r="AT63" s="22">
        <v>0</v>
      </c>
      <c r="AU63" s="22" t="e">
        <f t="shared" si="53"/>
        <v>#REF!</v>
      </c>
      <c r="AV63" s="23" t="e">
        <f>IF(SUMPRODUCT($J$67:AU$67,$J63:AU63)&lt;0.5, "Pending", IF(AU63&lt;0.5, "Complete", "In Progress"))</f>
        <v>#REF!</v>
      </c>
      <c r="AW63" s="22">
        <v>0</v>
      </c>
      <c r="AX63" s="22" t="e">
        <f t="shared" si="54"/>
        <v>#REF!</v>
      </c>
      <c r="AY63" s="23" t="e">
        <f>IF(SUMPRODUCT($J$67:AX$67,$J63:AX63)&lt;0.5, "Pending", IF(AX63&lt;0.5, "Complete", "In Progress"))</f>
        <v>#REF!</v>
      </c>
      <c r="AZ63" s="22">
        <v>0</v>
      </c>
      <c r="BA63" s="22" t="e">
        <f t="shared" si="55"/>
        <v>#REF!</v>
      </c>
      <c r="BB63" s="23" t="e">
        <f>IF(SUMPRODUCT($J$67:BA$67,$J63:BA63)&lt;0.5, "Pending", IF(BA63&lt;0.5, "Complete", "In Progress"))</f>
        <v>#REF!</v>
      </c>
      <c r="BC63" s="24"/>
      <c r="BD63" s="25">
        <f>SUMPRODUCT($H$67:X$67,$H63:X63)</f>
        <v>0</v>
      </c>
    </row>
    <row r="64" spans="1:56" x14ac:dyDescent="0.2">
      <c r="A64" s="16"/>
      <c r="B64" s="16"/>
      <c r="C64" s="16"/>
      <c r="D64" s="17"/>
      <c r="E64" s="87"/>
      <c r="F64" s="18" t="s">
        <v>33</v>
      </c>
      <c r="G64" s="19" t="e">
        <f t="shared" ca="1" si="56"/>
        <v>#REF!</v>
      </c>
      <c r="H64" s="20">
        <v>1</v>
      </c>
      <c r="I64" s="21">
        <v>0</v>
      </c>
      <c r="J64" s="22">
        <v>0</v>
      </c>
      <c r="K64" s="22">
        <f t="shared" ref="K64" si="57">MAX(I64-J64, 0)</f>
        <v>0</v>
      </c>
      <c r="L64" s="23" t="str">
        <f>IF(SUMPRODUCT($J$67:K$67,$J64:K64)&lt;0.5, "Pending", IF(K64&lt;0.5, "Complete", "In Progress"))</f>
        <v>Pending</v>
      </c>
      <c r="M64" s="22">
        <v>0</v>
      </c>
      <c r="N64" s="22">
        <f t="shared" ref="N64" si="58">MAX(K64-M64,0)</f>
        <v>0</v>
      </c>
      <c r="O64" s="23" t="str">
        <f>IF(SUMPRODUCT($J$67:N$67,$J64:N64)&lt;0.5, "Pending", IF(N64&lt;0.5, "Complete", "In Progress"))</f>
        <v>Pending</v>
      </c>
      <c r="P64" s="22">
        <v>0</v>
      </c>
      <c r="Q64" s="22">
        <f t="shared" ref="Q64" si="59">MAX(N64-P64,0)</f>
        <v>0</v>
      </c>
      <c r="R64" s="23" t="str">
        <f>IF(SUMPRODUCT($J$67:Q$67,$J64:Q64)&lt;0.5, "Pending", IF(Q64&lt;0.5, "Complete", "In Progress"))</f>
        <v>Pending</v>
      </c>
      <c r="S64" s="22">
        <v>0</v>
      </c>
      <c r="T64" s="22">
        <f t="shared" ref="T64" si="60">MAX(Q64-S64,0)</f>
        <v>0</v>
      </c>
      <c r="U64" s="23" t="str">
        <f>IF(SUMPRODUCT($J$67:T$67,$J64:T64)&lt;0.5, "Pending", IF(T64&lt;0.5, "Complete", "In Progress"))</f>
        <v>Pending</v>
      </c>
      <c r="V64" s="22">
        <v>0</v>
      </c>
      <c r="W64" s="22">
        <f t="shared" ref="W64" si="61">MAX(T64-V64,0)</f>
        <v>0</v>
      </c>
      <c r="X64" s="23" t="str">
        <f>IF(SUMPRODUCT($J$67:W$67,$J64:W64)&lt;0.5, "Pending", IF(W64&lt;0.5, "Complete", "In Progress"))</f>
        <v>Pending</v>
      </c>
      <c r="Y64" s="22">
        <v>0</v>
      </c>
      <c r="Z64" s="22" t="e">
        <f>MAX(#REF!-Y64,0)</f>
        <v>#REF!</v>
      </c>
      <c r="AA64" s="23" t="e">
        <f>IF(SUMPRODUCT($J$67:Z$67,$J64:Z64)&lt;0.5, "Pending", IF(Z64&lt;0.5, "Complete", "In Progress"))</f>
        <v>#REF!</v>
      </c>
      <c r="AB64" s="22">
        <v>0</v>
      </c>
      <c r="AC64" s="22" t="e">
        <f t="shared" ref="AC64" si="62">MAX(Z64-AB64,0)</f>
        <v>#REF!</v>
      </c>
      <c r="AD64" s="23" t="e">
        <f>IF(SUMPRODUCT($J$67:AC$67,$J64:AC64)&lt;0.5, "Pending", IF(AC64&lt;0.5, "Complete", "In Progress"))</f>
        <v>#REF!</v>
      </c>
      <c r="AE64" s="22">
        <v>0</v>
      </c>
      <c r="AF64" s="22" t="e">
        <f t="shared" ref="AF64" si="63">MAX(AC64-AE64,0)</f>
        <v>#REF!</v>
      </c>
      <c r="AG64" s="23" t="e">
        <f>IF(SUMPRODUCT($J$67:AF$67,$J64:AF64)&lt;0.5, "Pending", IF(AF64&lt;0.5, "Complete", "In Progress"))</f>
        <v>#REF!</v>
      </c>
      <c r="AH64" s="22">
        <v>0</v>
      </c>
      <c r="AI64" s="22" t="e">
        <f t="shared" ref="AI64" si="64">MAX(AF64-AH64,0)</f>
        <v>#REF!</v>
      </c>
      <c r="AJ64" s="23" t="e">
        <f>IF(SUMPRODUCT($J$67:AI$67,$J64:AI64)&lt;0.5, "Pending", IF(AI64&lt;0.5, "Complete", "In Progress"))</f>
        <v>#REF!</v>
      </c>
      <c r="AK64" s="22">
        <v>0</v>
      </c>
      <c r="AL64" s="22" t="e">
        <f t="shared" ref="AL64" si="65">MAX(AI64-AK64,0)</f>
        <v>#REF!</v>
      </c>
      <c r="AM64" s="23" t="e">
        <f>IF(SUMPRODUCT($J$67:AL$67,$J64:AL64)&lt;0.5, "Pending", IF(AL64&lt;0.5, "Complete", "In Progress"))</f>
        <v>#REF!</v>
      </c>
      <c r="AN64" s="22">
        <v>0</v>
      </c>
      <c r="AO64" s="22" t="e">
        <f t="shared" ref="AO64" si="66">MAX(AL64-AN64,0)</f>
        <v>#REF!</v>
      </c>
      <c r="AP64" s="23" t="e">
        <f>IF(SUMPRODUCT($J$67:AO$67,$J64:AO64)&lt;0.5, "Pending", IF(AO64&lt;0.5, "Complete", "In Progress"))</f>
        <v>#REF!</v>
      </c>
      <c r="AQ64" s="22">
        <v>0</v>
      </c>
      <c r="AR64" s="22" t="e">
        <f t="shared" ref="AR64" si="67">MAX(AO64-AQ64,0)</f>
        <v>#REF!</v>
      </c>
      <c r="AS64" s="23" t="e">
        <f>IF(SUMPRODUCT($J$67:AR$67,$J64:AR64)&lt;0.5, "Pending", IF(AR64&lt;0.5, "Complete", "In Progress"))</f>
        <v>#REF!</v>
      </c>
      <c r="AT64" s="22">
        <v>0</v>
      </c>
      <c r="AU64" s="22" t="e">
        <f t="shared" ref="AU64" si="68">MAX(AR64-AT64,0)</f>
        <v>#REF!</v>
      </c>
      <c r="AV64" s="23" t="e">
        <f>IF(SUMPRODUCT($J$67:AU$67,$J64:AU64)&lt;0.5, "Pending", IF(AU64&lt;0.5, "Complete", "In Progress"))</f>
        <v>#REF!</v>
      </c>
      <c r="AW64" s="22">
        <v>0</v>
      </c>
      <c r="AX64" s="22" t="e">
        <f t="shared" ref="AX64" si="69">MAX(AU64-AW64,0)</f>
        <v>#REF!</v>
      </c>
      <c r="AY64" s="23" t="e">
        <f>IF(SUMPRODUCT($J$67:AX$67,$J64:AX64)&lt;0.5, "Pending", IF(AX64&lt;0.5, "Complete", "In Progress"))</f>
        <v>#REF!</v>
      </c>
      <c r="AZ64" s="22">
        <v>0</v>
      </c>
      <c r="BA64" s="22" t="e">
        <f t="shared" ref="BA64" si="70">MAX(AX64-AZ64,0)</f>
        <v>#REF!</v>
      </c>
      <c r="BB64" s="23" t="e">
        <f>IF(SUMPRODUCT($J$67:BA$67,$J64:BA64)&lt;0.5, "Pending", IF(BA64&lt;0.5, "Complete", "In Progress"))</f>
        <v>#REF!</v>
      </c>
      <c r="BC64" s="24"/>
      <c r="BD64" s="25">
        <f>SUMPRODUCT($H$67:X$67,$H64:X64)</f>
        <v>0</v>
      </c>
    </row>
    <row r="65" spans="1:56" hidden="1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4"/>
      <c r="K65" s="24"/>
      <c r="L65" s="24"/>
      <c r="M65" s="27"/>
      <c r="N65" s="27"/>
      <c r="O65" s="24"/>
      <c r="P65" s="27"/>
      <c r="Q65" s="27"/>
      <c r="R65" s="24"/>
      <c r="S65" s="27"/>
      <c r="T65" s="27"/>
      <c r="U65" s="27"/>
      <c r="V65" s="27"/>
      <c r="W65" s="27"/>
      <c r="X65" s="24"/>
      <c r="Y65" s="27"/>
      <c r="Z65" s="27"/>
      <c r="AA65" s="24"/>
      <c r="AB65" s="27"/>
      <c r="AC65" s="27"/>
      <c r="AD65" s="24"/>
      <c r="AE65" s="27"/>
      <c r="AF65" s="27"/>
      <c r="AG65" s="24"/>
      <c r="AH65" s="27"/>
      <c r="AI65" s="27"/>
      <c r="AJ65" s="24"/>
      <c r="AK65" s="27"/>
      <c r="AL65" s="27"/>
      <c r="AM65" s="24"/>
      <c r="AN65" s="27"/>
      <c r="AO65" s="27"/>
      <c r="AP65" s="24"/>
      <c r="AQ65" s="27"/>
      <c r="AR65" s="27"/>
      <c r="AS65" s="24"/>
      <c r="AT65" s="27"/>
      <c r="AU65" s="27"/>
      <c r="AV65" s="24"/>
      <c r="AW65" s="27"/>
      <c r="AX65" s="27"/>
      <c r="AY65" s="24"/>
      <c r="AZ65" s="27"/>
      <c r="BA65" s="27"/>
      <c r="BB65" s="24"/>
      <c r="BC65" s="24"/>
      <c r="BD65" s="28">
        <f>SUMPRODUCT($H$68:AJ$68,$H65:AJ65)</f>
        <v>0</v>
      </c>
    </row>
    <row r="66" spans="1:56" x14ac:dyDescent="0.2">
      <c r="A66" s="29"/>
      <c r="B66" s="29"/>
      <c r="C66" s="29"/>
      <c r="D66" s="29"/>
      <c r="E66" s="29"/>
      <c r="F66" s="29"/>
      <c r="G66" s="1"/>
      <c r="H66" s="29"/>
      <c r="I66" s="29"/>
      <c r="J66" s="91" t="s">
        <v>9</v>
      </c>
      <c r="K66" s="92"/>
      <c r="L66" s="30">
        <v>1</v>
      </c>
      <c r="M66" s="89" t="s">
        <v>9</v>
      </c>
      <c r="N66" s="93"/>
      <c r="O66" s="30">
        <f>L66+1</f>
        <v>2</v>
      </c>
      <c r="P66" s="89" t="s">
        <v>9</v>
      </c>
      <c r="Q66" s="93"/>
      <c r="R66" s="30">
        <f>O66+1</f>
        <v>3</v>
      </c>
      <c r="S66" s="89" t="s">
        <v>9</v>
      </c>
      <c r="T66" s="93"/>
      <c r="U66" s="30">
        <f>R66+1</f>
        <v>4</v>
      </c>
      <c r="V66" s="89" t="s">
        <v>9</v>
      </c>
      <c r="W66" s="93"/>
      <c r="X66" s="30">
        <f>U66+1</f>
        <v>5</v>
      </c>
      <c r="Y66" s="89" t="s">
        <v>9</v>
      </c>
      <c r="Z66" s="93"/>
      <c r="AA66" s="30" t="e">
        <f>#REF!+1</f>
        <v>#REF!</v>
      </c>
      <c r="AB66" s="89" t="s">
        <v>9</v>
      </c>
      <c r="AC66" s="93"/>
      <c r="AD66" s="30" t="e">
        <f>AA66+1</f>
        <v>#REF!</v>
      </c>
      <c r="AE66" s="89" t="s">
        <v>9</v>
      </c>
      <c r="AF66" s="93"/>
      <c r="AG66" s="30" t="e">
        <f>AD66+1</f>
        <v>#REF!</v>
      </c>
      <c r="AH66" s="89" t="s">
        <v>9</v>
      </c>
      <c r="AI66" s="93"/>
      <c r="AJ66" s="30" t="e">
        <f>AG66+1</f>
        <v>#REF!</v>
      </c>
      <c r="AK66" s="89" t="s">
        <v>9</v>
      </c>
      <c r="AL66" s="93"/>
      <c r="AM66" s="30" t="e">
        <f>AJ66+1</f>
        <v>#REF!</v>
      </c>
      <c r="AN66" s="89" t="s">
        <v>9</v>
      </c>
      <c r="AO66" s="93"/>
      <c r="AP66" s="30" t="e">
        <f>AM66+1</f>
        <v>#REF!</v>
      </c>
      <c r="AQ66" s="89" t="s">
        <v>9</v>
      </c>
      <c r="AR66" s="93"/>
      <c r="AS66" s="30" t="e">
        <f>AP66+1</f>
        <v>#REF!</v>
      </c>
      <c r="AT66" s="89" t="s">
        <v>9</v>
      </c>
      <c r="AU66" s="93"/>
      <c r="AV66" s="30" t="e">
        <f>AS66+1</f>
        <v>#REF!</v>
      </c>
      <c r="AW66" s="89" t="s">
        <v>9</v>
      </c>
      <c r="AX66" s="93"/>
      <c r="AY66" s="30" t="e">
        <f>AV66+1</f>
        <v>#REF!</v>
      </c>
      <c r="AZ66" s="89" t="s">
        <v>9</v>
      </c>
      <c r="BA66" s="93"/>
      <c r="BB66" s="30" t="e">
        <f>AY66+1</f>
        <v>#REF!</v>
      </c>
      <c r="BC66" s="30"/>
      <c r="BD66" s="31"/>
    </row>
    <row r="67" spans="1:56" hidden="1" x14ac:dyDescent="0.2">
      <c r="A67" s="32"/>
      <c r="B67" s="32"/>
      <c r="C67" s="32"/>
      <c r="D67" s="32"/>
      <c r="E67" s="32" t="s">
        <v>11</v>
      </c>
      <c r="F67" s="32"/>
      <c r="G67" s="32"/>
      <c r="H67" s="32"/>
      <c r="I67" s="32"/>
      <c r="J67" s="70">
        <v>1</v>
      </c>
      <c r="K67" s="70">
        <v>0</v>
      </c>
      <c r="L67" s="32">
        <v>0</v>
      </c>
      <c r="M67" s="32">
        <v>1</v>
      </c>
      <c r="N67" s="32">
        <v>0</v>
      </c>
      <c r="O67" s="32">
        <v>0</v>
      </c>
      <c r="P67" s="32">
        <v>1</v>
      </c>
      <c r="Q67" s="32">
        <v>0</v>
      </c>
      <c r="R67" s="32">
        <v>0</v>
      </c>
      <c r="S67" s="32">
        <v>1</v>
      </c>
      <c r="T67" s="32">
        <v>0</v>
      </c>
      <c r="U67" s="32">
        <v>0</v>
      </c>
      <c r="V67" s="32">
        <v>1</v>
      </c>
      <c r="W67" s="32">
        <v>0</v>
      </c>
      <c r="X67" s="32">
        <v>0</v>
      </c>
      <c r="Y67" s="32">
        <v>1</v>
      </c>
      <c r="Z67" s="32">
        <v>0</v>
      </c>
      <c r="AA67" s="32">
        <v>0</v>
      </c>
      <c r="AB67" s="32">
        <v>1</v>
      </c>
      <c r="AC67" s="32">
        <v>0</v>
      </c>
      <c r="AD67" s="32">
        <v>0</v>
      </c>
      <c r="AE67" s="32">
        <v>1</v>
      </c>
      <c r="AF67" s="32">
        <v>0</v>
      </c>
      <c r="AG67" s="32">
        <v>0</v>
      </c>
      <c r="AH67" s="32">
        <v>1</v>
      </c>
      <c r="AI67" s="32">
        <v>0</v>
      </c>
      <c r="AJ67" s="32">
        <v>0</v>
      </c>
      <c r="AK67" s="32">
        <v>1</v>
      </c>
      <c r="AL67" s="32">
        <v>0</v>
      </c>
      <c r="AM67" s="32">
        <v>0</v>
      </c>
      <c r="AN67" s="32">
        <v>1</v>
      </c>
      <c r="AO67" s="32">
        <v>0</v>
      </c>
      <c r="AP67" s="32">
        <v>0</v>
      </c>
      <c r="AQ67" s="32">
        <v>1</v>
      </c>
      <c r="AR67" s="32">
        <v>0</v>
      </c>
      <c r="AS67" s="32">
        <v>0</v>
      </c>
      <c r="AT67" s="32">
        <v>1</v>
      </c>
      <c r="AU67" s="32">
        <v>0</v>
      </c>
      <c r="AV67" s="32">
        <v>0</v>
      </c>
      <c r="AW67" s="32">
        <v>1</v>
      </c>
      <c r="AX67" s="32">
        <v>0</v>
      </c>
      <c r="AY67" s="32">
        <v>0</v>
      </c>
      <c r="AZ67" s="32">
        <v>1</v>
      </c>
      <c r="BA67" s="32">
        <v>0</v>
      </c>
      <c r="BB67" s="32">
        <v>0</v>
      </c>
      <c r="BC67" s="32"/>
      <c r="BD67" s="33"/>
    </row>
    <row r="68" spans="1:56" hidden="1" x14ac:dyDescent="0.2">
      <c r="A68" s="34"/>
      <c r="B68" s="34"/>
      <c r="C68" s="34"/>
      <c r="D68" s="34"/>
      <c r="E68" s="32" t="s">
        <v>13</v>
      </c>
      <c r="F68" s="32"/>
      <c r="G68" s="32"/>
      <c r="H68" s="32"/>
      <c r="I68" s="32"/>
      <c r="J68" s="24">
        <v>0</v>
      </c>
      <c r="K68" s="70">
        <v>1</v>
      </c>
      <c r="L68" s="32">
        <v>0</v>
      </c>
      <c r="M68" s="35">
        <v>0</v>
      </c>
      <c r="N68" s="32">
        <v>1</v>
      </c>
      <c r="O68" s="32">
        <v>0</v>
      </c>
      <c r="P68" s="35">
        <v>0</v>
      </c>
      <c r="Q68" s="32">
        <v>1</v>
      </c>
      <c r="R68" s="32">
        <v>0</v>
      </c>
      <c r="S68" s="35">
        <v>0</v>
      </c>
      <c r="T68" s="32">
        <v>1</v>
      </c>
      <c r="U68" s="32">
        <v>0</v>
      </c>
      <c r="V68" s="35">
        <v>0</v>
      </c>
      <c r="W68" s="32">
        <v>1</v>
      </c>
      <c r="X68" s="32">
        <v>0</v>
      </c>
      <c r="Y68" s="35">
        <v>0</v>
      </c>
      <c r="Z68" s="32">
        <v>1</v>
      </c>
      <c r="AA68" s="32">
        <v>0</v>
      </c>
      <c r="AB68" s="35">
        <v>0</v>
      </c>
      <c r="AC68" s="32">
        <v>1</v>
      </c>
      <c r="AD68" s="32">
        <v>0</v>
      </c>
      <c r="AE68" s="35">
        <v>0</v>
      </c>
      <c r="AF68" s="32">
        <v>1</v>
      </c>
      <c r="AG68" s="32">
        <v>0</v>
      </c>
      <c r="AH68" s="35">
        <v>0</v>
      </c>
      <c r="AI68" s="32">
        <v>1</v>
      </c>
      <c r="AJ68" s="32">
        <v>0</v>
      </c>
      <c r="AK68" s="35">
        <v>0</v>
      </c>
      <c r="AL68" s="32">
        <v>1</v>
      </c>
      <c r="AM68" s="32">
        <v>0</v>
      </c>
      <c r="AN68" s="35">
        <v>0</v>
      </c>
      <c r="AO68" s="32">
        <v>1</v>
      </c>
      <c r="AP68" s="32">
        <v>0</v>
      </c>
      <c r="AQ68" s="35">
        <v>0</v>
      </c>
      <c r="AR68" s="32">
        <v>1</v>
      </c>
      <c r="AS68" s="32">
        <v>0</v>
      </c>
      <c r="AT68" s="35">
        <v>0</v>
      </c>
      <c r="AU68" s="32">
        <v>1</v>
      </c>
      <c r="AV68" s="32">
        <v>0</v>
      </c>
      <c r="AW68" s="35">
        <v>0</v>
      </c>
      <c r="AX68" s="32">
        <v>1</v>
      </c>
      <c r="AY68" s="32">
        <v>0</v>
      </c>
      <c r="AZ68" s="35">
        <v>0</v>
      </c>
      <c r="BA68" s="32">
        <v>1</v>
      </c>
      <c r="BB68" s="32">
        <v>0</v>
      </c>
      <c r="BC68" s="32"/>
    </row>
    <row r="69" spans="1:56" hidden="1" x14ac:dyDescent="0.2">
      <c r="A69" s="32"/>
      <c r="B69" s="32"/>
      <c r="C69" s="32"/>
      <c r="D69" s="32"/>
      <c r="E69" s="36" t="s">
        <v>14</v>
      </c>
      <c r="F69" s="32"/>
      <c r="G69" s="32"/>
      <c r="H69" s="32"/>
      <c r="I69" s="32"/>
      <c r="J69" s="24">
        <v>0</v>
      </c>
      <c r="K69" s="70">
        <v>0</v>
      </c>
      <c r="L69" s="32">
        <v>1</v>
      </c>
      <c r="M69" s="35">
        <v>0</v>
      </c>
      <c r="N69" s="32">
        <v>0</v>
      </c>
      <c r="O69" s="32">
        <v>1</v>
      </c>
      <c r="P69" s="35">
        <v>0</v>
      </c>
      <c r="Q69" s="32">
        <v>0</v>
      </c>
      <c r="R69" s="32">
        <v>1</v>
      </c>
      <c r="S69" s="35">
        <v>0</v>
      </c>
      <c r="T69" s="32">
        <v>0</v>
      </c>
      <c r="U69" s="32">
        <v>1</v>
      </c>
      <c r="V69" s="35">
        <v>0</v>
      </c>
      <c r="W69" s="32">
        <v>0</v>
      </c>
      <c r="X69" s="32">
        <v>1</v>
      </c>
      <c r="Y69" s="35">
        <v>0</v>
      </c>
      <c r="Z69" s="32">
        <v>0</v>
      </c>
      <c r="AA69" s="32">
        <v>1</v>
      </c>
      <c r="AB69" s="35">
        <v>0</v>
      </c>
      <c r="AC69" s="32">
        <v>0</v>
      </c>
      <c r="AD69" s="32">
        <v>1</v>
      </c>
      <c r="AE69" s="35">
        <v>0</v>
      </c>
      <c r="AF69" s="32">
        <v>0</v>
      </c>
      <c r="AG69" s="32">
        <v>1</v>
      </c>
      <c r="AH69" s="35">
        <v>0</v>
      </c>
      <c r="AI69" s="32">
        <v>0</v>
      </c>
      <c r="AJ69" s="32">
        <v>1</v>
      </c>
      <c r="AK69" s="35">
        <v>0</v>
      </c>
      <c r="AL69" s="32">
        <v>0</v>
      </c>
      <c r="AM69" s="32">
        <v>1</v>
      </c>
      <c r="AN69" s="35">
        <v>0</v>
      </c>
      <c r="AO69" s="32">
        <v>0</v>
      </c>
      <c r="AP69" s="32">
        <v>1</v>
      </c>
      <c r="AQ69" s="35">
        <v>0</v>
      </c>
      <c r="AR69" s="32">
        <v>0</v>
      </c>
      <c r="AS69" s="32">
        <v>1</v>
      </c>
      <c r="AT69" s="35">
        <v>0</v>
      </c>
      <c r="AU69" s="32">
        <v>0</v>
      </c>
      <c r="AV69" s="32">
        <v>1</v>
      </c>
      <c r="AW69" s="35">
        <v>0</v>
      </c>
      <c r="AX69" s="32">
        <v>0</v>
      </c>
      <c r="AY69" s="32">
        <v>1</v>
      </c>
      <c r="AZ69" s="35">
        <v>0</v>
      </c>
      <c r="BA69" s="32">
        <v>0</v>
      </c>
      <c r="BB69" s="32">
        <v>1</v>
      </c>
      <c r="BC69" s="32"/>
    </row>
    <row r="70" spans="1:56" x14ac:dyDescent="0.2">
      <c r="A70" s="37">
        <v>300</v>
      </c>
      <c r="B70" s="37">
        <v>300</v>
      </c>
      <c r="C70" s="37">
        <v>300</v>
      </c>
      <c r="D70" s="37" t="s">
        <v>59</v>
      </c>
      <c r="E70" s="38" t="s">
        <v>55</v>
      </c>
      <c r="F70" s="38"/>
      <c r="G70" s="38"/>
      <c r="H70" s="38"/>
      <c r="I70" s="39">
        <f>SUBTOTAL(109,I$6:I$65)</f>
        <v>107</v>
      </c>
      <c r="J70" s="71">
        <f>SUBTOTAL(109,J$6:J$65)</f>
        <v>27</v>
      </c>
      <c r="K70" s="71">
        <f>SUBTOTAL(109,K$6:K$64)</f>
        <v>84</v>
      </c>
      <c r="L70" s="39"/>
      <c r="M70" s="39">
        <f>SUBTOTAL(109,M$6:M$65)</f>
        <v>23</v>
      </c>
      <c r="N70" s="39">
        <f>SUBTOTAL(109,N$6:N$64)</f>
        <v>61</v>
      </c>
      <c r="O70" s="39"/>
      <c r="P70" s="39">
        <f>SUBTOTAL(109,P$6:P$65)</f>
        <v>33</v>
      </c>
      <c r="Q70" s="39">
        <f>SUBTOTAL(109,Q$6:Q$64)</f>
        <v>30</v>
      </c>
      <c r="R70" s="39"/>
      <c r="S70" s="39">
        <f>SUBTOTAL(109,S$6:S$65)</f>
        <v>6</v>
      </c>
      <c r="T70" s="39">
        <f>SUBTOTAL(109,T$6:T$64)</f>
        <v>24</v>
      </c>
      <c r="U70" s="39"/>
      <c r="V70" s="39">
        <f>SUBTOTAL(109,V$6:V$65)</f>
        <v>0</v>
      </c>
      <c r="W70" s="39">
        <f>SUBTOTAL(109,W$6:W$64)</f>
        <v>24</v>
      </c>
      <c r="X70" s="39"/>
      <c r="Y70" s="39">
        <f t="shared" ref="Y70:BB70" si="71">SUBTOTAL(109,Y$6:Y$64)</f>
        <v>0</v>
      </c>
      <c r="Z70" s="39" t="e">
        <f t="shared" si="71"/>
        <v>#REF!</v>
      </c>
      <c r="AA70" s="39" t="e">
        <f t="shared" si="71"/>
        <v>#REF!</v>
      </c>
      <c r="AB70" s="39">
        <f t="shared" si="71"/>
        <v>0</v>
      </c>
      <c r="AC70" s="39" t="e">
        <f t="shared" si="71"/>
        <v>#REF!</v>
      </c>
      <c r="AD70" s="39" t="e">
        <f t="shared" si="71"/>
        <v>#REF!</v>
      </c>
      <c r="AE70" s="39">
        <f t="shared" si="71"/>
        <v>0</v>
      </c>
      <c r="AF70" s="39" t="e">
        <f t="shared" si="71"/>
        <v>#REF!</v>
      </c>
      <c r="AG70" s="39" t="e">
        <f t="shared" si="71"/>
        <v>#REF!</v>
      </c>
      <c r="AH70" s="39">
        <f t="shared" si="71"/>
        <v>0</v>
      </c>
      <c r="AI70" s="39" t="e">
        <f t="shared" si="71"/>
        <v>#REF!</v>
      </c>
      <c r="AJ70" s="39" t="e">
        <f t="shared" si="71"/>
        <v>#REF!</v>
      </c>
      <c r="AK70" s="39">
        <f t="shared" si="71"/>
        <v>0</v>
      </c>
      <c r="AL70" s="39" t="e">
        <f t="shared" si="71"/>
        <v>#REF!</v>
      </c>
      <c r="AM70" s="39" t="e">
        <f t="shared" si="71"/>
        <v>#REF!</v>
      </c>
      <c r="AN70" s="39">
        <f t="shared" si="71"/>
        <v>0</v>
      </c>
      <c r="AO70" s="39" t="e">
        <f t="shared" si="71"/>
        <v>#REF!</v>
      </c>
      <c r="AP70" s="39" t="e">
        <f t="shared" si="71"/>
        <v>#REF!</v>
      </c>
      <c r="AQ70" s="39">
        <f t="shared" si="71"/>
        <v>0</v>
      </c>
      <c r="AR70" s="39" t="e">
        <f t="shared" si="71"/>
        <v>#REF!</v>
      </c>
      <c r="AS70" s="39" t="e">
        <f t="shared" si="71"/>
        <v>#REF!</v>
      </c>
      <c r="AT70" s="39">
        <f t="shared" si="71"/>
        <v>0</v>
      </c>
      <c r="AU70" s="39" t="e">
        <f t="shared" si="71"/>
        <v>#REF!</v>
      </c>
      <c r="AV70" s="39" t="e">
        <f t="shared" si="71"/>
        <v>#REF!</v>
      </c>
      <c r="AW70" s="39">
        <f t="shared" si="71"/>
        <v>0</v>
      </c>
      <c r="AX70" s="39" t="e">
        <f t="shared" si="71"/>
        <v>#REF!</v>
      </c>
      <c r="AY70" s="39" t="e">
        <f t="shared" si="71"/>
        <v>#REF!</v>
      </c>
      <c r="AZ70" s="39">
        <f t="shared" si="71"/>
        <v>0</v>
      </c>
      <c r="BA70" s="39" t="e">
        <f t="shared" si="71"/>
        <v>#REF!</v>
      </c>
      <c r="BB70" s="39" t="e">
        <f t="shared" si="71"/>
        <v>#REF!</v>
      </c>
      <c r="BC70" s="38"/>
      <c r="BD70" s="40"/>
    </row>
    <row r="71" spans="1:56" x14ac:dyDescent="0.2">
      <c r="A71" s="41"/>
      <c r="B71" s="41"/>
      <c r="C71" s="41"/>
      <c r="D71" s="41"/>
      <c r="E71" s="41"/>
      <c r="F71" s="41"/>
      <c r="G71" s="41"/>
      <c r="H71" s="41"/>
      <c r="I71" s="41"/>
      <c r="J71" s="72"/>
      <c r="K71" s="73"/>
      <c r="L71" s="41"/>
      <c r="M71" s="42"/>
      <c r="N71" s="41"/>
      <c r="O71" s="41"/>
      <c r="P71" s="42"/>
      <c r="Q71" s="41"/>
      <c r="R71" s="41"/>
      <c r="S71" s="42"/>
      <c r="T71" s="41"/>
      <c r="U71" s="41"/>
      <c r="V71" s="42"/>
      <c r="W71" s="41"/>
      <c r="X71" s="41"/>
      <c r="Y71" s="42"/>
      <c r="Z71" s="41"/>
      <c r="AA71" s="41"/>
      <c r="AB71" s="42"/>
      <c r="AC71" s="41"/>
      <c r="AD71" s="41"/>
      <c r="AE71" s="42"/>
      <c r="AF71" s="41"/>
      <c r="AG71" s="41"/>
      <c r="AH71" s="42"/>
      <c r="AI71" s="41"/>
      <c r="AJ71" s="41"/>
      <c r="AK71" s="42"/>
      <c r="AL71" s="41"/>
      <c r="AM71" s="41"/>
      <c r="AN71" s="42"/>
      <c r="AO71" s="41"/>
      <c r="AP71" s="41"/>
      <c r="AQ71" s="42"/>
      <c r="AR71" s="41"/>
      <c r="AS71" s="41"/>
      <c r="AT71" s="42"/>
      <c r="AU71" s="41"/>
      <c r="AV71" s="41"/>
      <c r="AW71" s="42"/>
      <c r="AX71" s="41"/>
      <c r="AY71" s="41"/>
      <c r="AZ71" s="42"/>
      <c r="BA71" s="41"/>
      <c r="BB71" s="41"/>
      <c r="BC71" s="41"/>
    </row>
    <row r="72" spans="1:56" x14ac:dyDescent="0.2">
      <c r="A72" s="41"/>
      <c r="B72" s="41"/>
      <c r="C72" s="41"/>
      <c r="D72" s="41"/>
      <c r="E72" s="41"/>
      <c r="F72" s="41"/>
      <c r="G72" s="41"/>
      <c r="H72" s="41"/>
      <c r="I72" s="41"/>
      <c r="J72" s="72"/>
      <c r="K72" s="73"/>
      <c r="L72" s="41"/>
      <c r="M72" s="42"/>
      <c r="N72" s="41"/>
      <c r="O72" s="41"/>
      <c r="P72" s="42"/>
      <c r="Q72" s="41"/>
      <c r="R72" s="41"/>
      <c r="S72" s="42"/>
      <c r="T72" s="41"/>
      <c r="U72" s="41"/>
      <c r="V72" s="42"/>
      <c r="W72" s="41"/>
      <c r="X72" s="41"/>
      <c r="Y72" s="42"/>
      <c r="Z72" s="41"/>
      <c r="AA72" s="41"/>
      <c r="AB72" s="42"/>
      <c r="AC72" s="41"/>
      <c r="AD72" s="41"/>
      <c r="AE72" s="42"/>
      <c r="AF72" s="41"/>
      <c r="AG72" s="41"/>
      <c r="AH72" s="42"/>
      <c r="AI72" s="41"/>
      <c r="AJ72" s="41"/>
      <c r="AK72" s="42"/>
      <c r="AL72" s="41"/>
      <c r="AM72" s="41"/>
      <c r="AN72" s="42"/>
      <c r="AO72" s="41"/>
      <c r="AP72" s="41"/>
      <c r="AQ72" s="42"/>
      <c r="AR72" s="41"/>
      <c r="AS72" s="41"/>
      <c r="AT72" s="42"/>
      <c r="AU72" s="41"/>
      <c r="AV72" s="41"/>
      <c r="AW72" s="42"/>
      <c r="AX72" s="41"/>
      <c r="AY72" s="41"/>
      <c r="AZ72" s="42"/>
      <c r="BA72" s="41"/>
      <c r="BB72" s="41"/>
      <c r="BC72" s="41"/>
    </row>
    <row r="73" spans="1:56" x14ac:dyDescent="0.2">
      <c r="A73" s="41"/>
      <c r="B73" s="41"/>
      <c r="C73" s="41"/>
      <c r="D73" s="41"/>
      <c r="E73" s="41"/>
      <c r="F73" s="41"/>
      <c r="G73" s="41"/>
    </row>
    <row r="74" spans="1:56" x14ac:dyDescent="0.2">
      <c r="A74" s="41"/>
      <c r="B74" s="41"/>
      <c r="C74" s="41"/>
      <c r="D74" s="41"/>
      <c r="E74" s="41"/>
      <c r="F74" s="41"/>
      <c r="G74" s="41"/>
    </row>
  </sheetData>
  <autoFilter ref="C3:BD64"/>
  <mergeCells count="30">
    <mergeCell ref="AW1:AY1"/>
    <mergeCell ref="AW66:AX66"/>
    <mergeCell ref="AZ1:BB1"/>
    <mergeCell ref="AZ66:BA66"/>
    <mergeCell ref="AQ1:AS1"/>
    <mergeCell ref="AQ66:AR66"/>
    <mergeCell ref="AT1:AV1"/>
    <mergeCell ref="AT66:AU66"/>
    <mergeCell ref="AK1:AM1"/>
    <mergeCell ref="AK66:AL66"/>
    <mergeCell ref="AN1:AP1"/>
    <mergeCell ref="AN66:AO66"/>
    <mergeCell ref="Y1:AA1"/>
    <mergeCell ref="Y66:Z66"/>
    <mergeCell ref="AB1:AD1"/>
    <mergeCell ref="AB66:AC66"/>
    <mergeCell ref="AE1:AG1"/>
    <mergeCell ref="AE66:AF66"/>
    <mergeCell ref="AH1:AJ1"/>
    <mergeCell ref="AH66:AI66"/>
    <mergeCell ref="V1:X1"/>
    <mergeCell ref="J66:K66"/>
    <mergeCell ref="M66:N66"/>
    <mergeCell ref="P66:Q66"/>
    <mergeCell ref="S66:T66"/>
    <mergeCell ref="V66:W66"/>
    <mergeCell ref="J1:L1"/>
    <mergeCell ref="M1:O1"/>
    <mergeCell ref="P1:R1"/>
    <mergeCell ref="S1:U1"/>
  </mergeCells>
  <phoneticPr fontId="2" type="noConversion"/>
  <conditionalFormatting sqref="I70">
    <cfRule type="cellIs" dxfId="43" priority="44" stopIfTrue="1" operator="lessThan">
      <formula>C70*0.75</formula>
    </cfRule>
    <cfRule type="cellIs" dxfId="42" priority="44" stopIfTrue="1" operator="between">
      <formula>C70*0.75</formula>
      <formula>#REF!</formula>
    </cfRule>
    <cfRule type="cellIs" dxfId="41" priority="44" stopIfTrue="1" operator="greaterThan">
      <formula>C70</formula>
    </cfRule>
  </conditionalFormatting>
  <conditionalFormatting sqref="J2:J3 AZ2:AZ3 AQ2:AQ3 AT2:AT3 P2:P3 S2:S3 V2:V3 Y2:Y3 AB2:AB3 AE2:AE3 AH2:AH3 AK2:AK3 AN2:AN3 AW2:AW3 M2:M3">
    <cfRule type="expression" dxfId="40" priority="36" stopIfTrue="1">
      <formula>J$1=TODAY()+DailyScrumDateModifier</formula>
    </cfRule>
  </conditionalFormatting>
  <conditionalFormatting sqref="K2:K3 Q2:Q3 T2:T3 W2:W3 Z2:Z3 AC2:AC3 AF2:AF3 AI2:AI3 AL2:AL3 AO2:AO3 AR2:AR3 AU2:AU3 AX2:AX3 BA2:BA3 N2:N3">
    <cfRule type="expression" dxfId="39" priority="37" stopIfTrue="1">
      <formula>J$1=TODAY()+DailyScrumDateModifier</formula>
    </cfRule>
  </conditionalFormatting>
  <conditionalFormatting sqref="L2:L3 R2:R3 U2:U3 X2:X3 AA2:AA3 AD2:AD3 AG2:AG3 AJ2:AJ3 AM2:AM3 AP2:AP3 AS2:AS3 AV2:AV3 AY2:AY3 BB2:BB3 O2:O3">
    <cfRule type="expression" dxfId="38" priority="38" stopIfTrue="1">
      <formula>J$1=TODAY()+DailyScrumDateModifier</formula>
    </cfRule>
  </conditionalFormatting>
  <conditionalFormatting sqref="S6 V6 AZ6 AW6 AT6 AQ6 AN6 AK6 AH6 AE6 AB6 Y6 M6 J6 P6 P8:P64 J8:J64 M8:M64 Y8:Y64 AB8:AB64 AE8:AE64 AH8:AH64 AK8:AK64 AN8:AN64 AQ8:AQ64 AT8:AT64 AW8:AW64 AZ8:AZ64 V8:V64 S8:S64">
    <cfRule type="expression" dxfId="37" priority="47" stopIfTrue="1">
      <formula>J$1=TODAY()+DailyScrumDateModifier</formula>
    </cfRule>
    <cfRule type="expression" dxfId="36" priority="47" stopIfTrue="1">
      <formula>MOD(ROW(),2)</formula>
    </cfRule>
  </conditionalFormatting>
  <conditionalFormatting sqref="N6 W6 Q6 BA6 AX6 AU6 AR6 AO6 AL6 AI6 AF6 AC6 Z6 K6 T6 T8:T64 K8:K64 Z8:Z64 AC8:AC64 AF8:AF64 AI8:AI64 AL8:AL64 AO8:AO64 AR8:AR64 AU8:AU64 AX8:AX64 BA8:BA64 Q8:Q64 W8:W64 N8:N64">
    <cfRule type="expression" dxfId="35" priority="49" stopIfTrue="1">
      <formula>J$1=TODAY()+DailyScrumDateModifier</formula>
    </cfRule>
    <cfRule type="expression" dxfId="34" priority="49" stopIfTrue="1">
      <formula>MOD(ROW(),2)</formula>
    </cfRule>
  </conditionalFormatting>
  <conditionalFormatting sqref="BD6 H6:I6 A6:E6 A8:E64 H8:I64 BD8:BD65">
    <cfRule type="expression" dxfId="33" priority="51" stopIfTrue="1">
      <formula>MOD(ROW(),2)</formula>
    </cfRule>
  </conditionalFormatting>
  <conditionalFormatting sqref="BB6 AY6 AV6 AS6 AP6 AM6 AJ6 AG6 AD6 AA6 X6 U6 R6 O6 L6 L8:L64 O8:O64 R8:R64 U8:U64 X8:X64 AA8:AA64 AD8:AD64 AG8:AG64 AJ8:AJ64 AM8:AM64 AP8:AP64 AS8:AS64 AV8:AV64 AY8:AY64 BB8:BB64">
    <cfRule type="cellIs" dxfId="32" priority="52" stopIfTrue="1" operator="equal">
      <formula>"Pending"</formula>
    </cfRule>
    <cfRule type="cellIs" dxfId="31" priority="52" stopIfTrue="1" operator="equal">
      <formula>"In Progress"</formula>
    </cfRule>
    <cfRule type="cellIs" dxfId="30" priority="52" stopIfTrue="1" operator="equal">
      <formula>"Complete"</formula>
    </cfRule>
  </conditionalFormatting>
  <conditionalFormatting sqref="J1:BB1">
    <cfRule type="expression" dxfId="29" priority="39" stopIfTrue="1">
      <formula>J$1=TODAY()+DailyScrumDateModifier</formula>
    </cfRule>
    <cfRule type="expression" dxfId="28" priority="39" stopIfTrue="1">
      <formula>J$1=TODAY()</formula>
    </cfRule>
  </conditionalFormatting>
  <conditionalFormatting sqref="J71:K72 M71:N72">
    <cfRule type="expression" dxfId="27" priority="41" stopIfTrue="1">
      <formula>"I1=TODAY()"</formula>
    </cfRule>
  </conditionalFormatting>
  <conditionalFormatting sqref="G66">
    <cfRule type="cellIs" dxfId="26" priority="42" stopIfTrue="1" operator="equal">
      <formula>"Complete"</formula>
    </cfRule>
    <cfRule type="cellIs" dxfId="25" priority="42" stopIfTrue="1" operator="equal">
      <formula>"In Progress"</formula>
    </cfRule>
  </conditionalFormatting>
  <conditionalFormatting sqref="G6 G8:G64">
    <cfRule type="cellIs" dxfId="24" priority="55" stopIfTrue="1" operator="equal">
      <formula>"Complete"</formula>
    </cfRule>
    <cfRule type="cellIs" dxfId="23" priority="55" stopIfTrue="1" operator="equal">
      <formula>"In Progress"</formula>
    </cfRule>
    <cfRule type="cellIs" dxfId="22" priority="55" stopIfTrue="1" operator="equal">
      <formula>"Pending"</formula>
    </cfRule>
  </conditionalFormatting>
  <conditionalFormatting sqref="S5 V5 AZ5 AW5 AT5 AQ5 AN5 AK5 AH5 AE5 AB5 Y5 M5 J5 P5">
    <cfRule type="expression" dxfId="21" priority="23" stopIfTrue="1">
      <formula>J$1=TODAY()+DailyScrumDateModifier</formula>
    </cfRule>
  </conditionalFormatting>
  <conditionalFormatting sqref="N5 W5 Q5 BA5 AX5 AU5 AR5 AO5 AL5 AI5 AF5 AC5 Z5 K5 T5">
    <cfRule type="expression" dxfId="20" priority="24" stopIfTrue="1">
      <formula>J$1=TODAY()+DailyScrumDateModifier</formula>
    </cfRule>
  </conditionalFormatting>
  <conditionalFormatting sqref="BD5 H5:I5 A5:E5">
    <cfRule type="expression" dxfId="19" priority="25" stopIfTrue="1">
      <formula>MOD(ROW(),2)</formula>
    </cfRule>
  </conditionalFormatting>
  <conditionalFormatting sqref="BB5 AY5 AV5 AS5 AP5 AM5 AJ5 AG5 AD5 AA5 X5 U5 R5 O5 L5">
    <cfRule type="cellIs" dxfId="18" priority="26" stopIfTrue="1" operator="equal">
      <formula>"Pending"</formula>
    </cfRule>
  </conditionalFormatting>
  <conditionalFormatting sqref="G5">
    <cfRule type="cellIs" dxfId="17" priority="27" stopIfTrue="1" operator="equal">
      <formula>"Complete"</formula>
    </cfRule>
  </conditionalFormatting>
  <conditionalFormatting sqref="S4 V4 AZ4 AW4 AT4 AQ4 AN4 AK4 AH4 AE4 AB4 Y4 M4 J4 P4">
    <cfRule type="expression" dxfId="16" priority="12" stopIfTrue="1">
      <formula>J$1=TODAY()+DailyScrumDateModifier</formula>
    </cfRule>
    <cfRule type="expression" dxfId="15" priority="21" stopIfTrue="1">
      <formula>MOD(ROW(),2)</formula>
    </cfRule>
  </conditionalFormatting>
  <conditionalFormatting sqref="N4 W4 Q4 BA4 AX4 AU4 AR4 AO4 AL4 AI4 AF4 AC4 Z4 K4 T4">
    <cfRule type="expression" dxfId="14" priority="13" stopIfTrue="1">
      <formula>J$1=TODAY()+DailyScrumDateModifier</formula>
    </cfRule>
    <cfRule type="expression" dxfId="13" priority="19" stopIfTrue="1">
      <formula>MOD(ROW(),2)</formula>
    </cfRule>
  </conditionalFormatting>
  <conditionalFormatting sqref="BD4 H4:I4 A4:E4">
    <cfRule type="expression" dxfId="12" priority="14" stopIfTrue="1">
      <formula>MOD(ROW(),2)</formula>
    </cfRule>
  </conditionalFormatting>
  <conditionalFormatting sqref="BB4 AY4 AV4 AS4 AP4 AM4 AJ4 AG4 AD4 AA4 X4 U4 R4 O4 L4">
    <cfRule type="cellIs" dxfId="11" priority="15" stopIfTrue="1" operator="equal">
      <formula>"In Progress"</formula>
    </cfRule>
    <cfRule type="cellIs" dxfId="10" priority="15" stopIfTrue="1" operator="equal">
      <formula>"Pending"</formula>
    </cfRule>
    <cfRule type="cellIs" dxfId="9" priority="16" stopIfTrue="1" operator="equal">
      <formula>"Complete"</formula>
    </cfRule>
  </conditionalFormatting>
  <conditionalFormatting sqref="G4">
    <cfRule type="cellIs" dxfId="8" priority="56" stopIfTrue="1" operator="equal">
      <formula>"In Progress"</formula>
    </cfRule>
    <cfRule type="cellIs" dxfId="7" priority="56" stopIfTrue="1" operator="equal">
      <formula>"Pending"</formula>
    </cfRule>
    <cfRule type="cellIs" dxfId="6" priority="56" stopIfTrue="1" operator="equal">
      <formula>"Complete"</formula>
    </cfRule>
  </conditionalFormatting>
  <conditionalFormatting sqref="P7 J7 M7 Y7 AB7 AE7 AH7 AK7 AN7 AQ7 AT7 AW7 AZ7 V7 S7">
    <cfRule type="expression" dxfId="5" priority="1" stopIfTrue="1">
      <formula>J$1=TODAY()+DailyScrumDateModifier</formula>
    </cfRule>
  </conditionalFormatting>
  <conditionalFormatting sqref="T7 K7 Z7 AC7 AF7 AI7 AL7 AO7 AR7 AU7 AX7 BA7 Q7 W7 N7">
    <cfRule type="expression" dxfId="4" priority="2" stopIfTrue="1">
      <formula>J$1=TODAY()+DailyScrumDateModifier</formula>
    </cfRule>
  </conditionalFormatting>
  <conditionalFormatting sqref="A7:E7 H7:I7 BD7">
    <cfRule type="expression" dxfId="3" priority="3" stopIfTrue="1">
      <formula>MOD(ROW(),2)</formula>
    </cfRule>
  </conditionalFormatting>
  <conditionalFormatting sqref="L7 O7 R7 U7 X7 AA7 AD7 AG7 AJ7 AM7 AP7 AS7 AV7 AY7 BB7">
    <cfRule type="cellIs" dxfId="2" priority="4" stopIfTrue="1" operator="equal">
      <formula>"Pending"</formula>
    </cfRule>
  </conditionalFormatting>
  <conditionalFormatting sqref="G7">
    <cfRule type="cellIs" dxfId="1" priority="5" stopIfTrue="1" operator="equal">
      <formula>"Complete"</formula>
    </cfRule>
  </conditionalFormatting>
  <dataValidations count="3">
    <dataValidation type="list" allowBlank="1" showInputMessage="1" showErrorMessage="1" sqref="F4:F64">
      <formula1>Members</formula1>
    </dataValidation>
    <dataValidation type="list" allowBlank="1" showInputMessage="1" showErrorMessage="1" sqref="A4:A64">
      <formula1>Worktype</formula1>
    </dataValidation>
    <dataValidation type="list" allowBlank="1" showInputMessage="1" showErrorMessage="1" sqref="B4:B64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zoomScaleNormal="100" workbookViewId="0">
      <selection activeCell="E20" sqref="E20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64"/>
    </row>
    <row r="19" spans="1:18" x14ac:dyDescent="0.2">
      <c r="A19" s="75" t="str">
        <f>IF(SkipWeekends, "Working Day", "Calendar Day")</f>
        <v>Calendar Day</v>
      </c>
      <c r="B19" s="76"/>
      <c r="C19" s="77"/>
      <c r="D19" s="78"/>
      <c r="E19" s="77">
        <v>1</v>
      </c>
      <c r="F19" s="77">
        <v>2</v>
      </c>
      <c r="G19" s="77">
        <v>3</v>
      </c>
      <c r="H19" s="77">
        <v>4</v>
      </c>
      <c r="I19" s="77">
        <v>5</v>
      </c>
      <c r="J19" s="77">
        <v>6</v>
      </c>
      <c r="K19" s="77">
        <v>7</v>
      </c>
      <c r="L19" s="77">
        <v>8</v>
      </c>
      <c r="M19" s="77">
        <v>9</v>
      </c>
      <c r="N19" s="77">
        <v>10</v>
      </c>
      <c r="O19" s="77">
        <v>11</v>
      </c>
      <c r="P19" s="77">
        <v>12</v>
      </c>
      <c r="Q19" s="77">
        <v>13</v>
      </c>
      <c r="R19" s="77">
        <v>14</v>
      </c>
    </row>
    <row r="20" spans="1:18" x14ac:dyDescent="0.2">
      <c r="A20" s="75" t="s">
        <v>21</v>
      </c>
      <c r="B20" s="76"/>
      <c r="C20" s="77"/>
      <c r="D20" s="78"/>
      <c r="E20" s="79" t="e">
        <f t="shared" ref="E20:R20" si="0">INDEX(SprintDates,1,(E19-1)*BurndownColumns+1)</f>
        <v>#REF!</v>
      </c>
      <c r="F20" s="79" t="e">
        <f t="shared" si="0"/>
        <v>#REF!</v>
      </c>
      <c r="G20" s="79" t="e">
        <f t="shared" si="0"/>
        <v>#REF!</v>
      </c>
      <c r="H20" s="79" t="e">
        <f t="shared" si="0"/>
        <v>#REF!</v>
      </c>
      <c r="I20" s="79" t="e">
        <f t="shared" si="0"/>
        <v>#REF!</v>
      </c>
      <c r="J20" s="79"/>
      <c r="K20" s="79"/>
      <c r="L20" s="79"/>
      <c r="M20" s="79"/>
      <c r="N20" s="79"/>
      <c r="O20" s="79"/>
      <c r="P20" s="79"/>
      <c r="Q20" s="79"/>
      <c r="R20" s="79"/>
    </row>
    <row r="21" spans="1:18" x14ac:dyDescent="0.2">
      <c r="A21" s="75"/>
      <c r="B21" s="76"/>
      <c r="C21" s="77"/>
      <c r="D21" s="78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</row>
    <row r="22" spans="1:18" x14ac:dyDescent="0.2">
      <c r="A22" s="75" t="s">
        <v>8</v>
      </c>
      <c r="B22" s="77"/>
      <c r="C22" s="80"/>
      <c r="D22" s="81"/>
      <c r="E22" s="77" t="e">
        <f t="shared" ref="E22:R22" ca="1" si="1">IF(E20&gt;TODAY(), #N/A, SUM(INDEX(Burndown,,(E19-1)*BurndownColumns+HoursLeftColumn)))</f>
        <v>#REF!</v>
      </c>
      <c r="F22" s="77" t="e">
        <f t="shared" ca="1" si="1"/>
        <v>#REF!</v>
      </c>
      <c r="G22" s="77" t="e">
        <f t="shared" ca="1" si="1"/>
        <v>#REF!</v>
      </c>
      <c r="H22" s="77" t="e">
        <f t="shared" ca="1" si="1"/>
        <v>#REF!</v>
      </c>
      <c r="I22" s="77" t="e">
        <f t="shared" ca="1" si="1"/>
        <v>#REF!</v>
      </c>
      <c r="J22" s="77"/>
      <c r="K22" s="77"/>
      <c r="L22" s="77"/>
      <c r="M22" s="77"/>
      <c r="N22" s="77"/>
      <c r="O22" s="77"/>
      <c r="P22" s="77"/>
      <c r="Q22" s="77"/>
      <c r="R22" s="77"/>
    </row>
    <row r="23" spans="1:18" x14ac:dyDescent="0.2">
      <c r="A23" s="82" t="s">
        <v>20</v>
      </c>
      <c r="B23" s="80"/>
      <c r="C23" s="80"/>
      <c r="D23" s="81"/>
      <c r="E23" s="78" t="e">
        <f t="shared" ref="E23:R23" ca="1" si="2">IF(E20&gt;TODAY(), #N/A, SUM(INDEX(Burndown,,(E19-1)*BurndownColumns+HoursSpentColumn)))</f>
        <v>#REF!</v>
      </c>
      <c r="F23" s="78" t="e">
        <f t="shared" ca="1" si="2"/>
        <v>#REF!</v>
      </c>
      <c r="G23" s="78" t="e">
        <f t="shared" ca="1" si="2"/>
        <v>#REF!</v>
      </c>
      <c r="H23" s="78" t="e">
        <f t="shared" ca="1" si="2"/>
        <v>#REF!</v>
      </c>
      <c r="I23" s="78" t="e">
        <f t="shared" ca="1" si="2"/>
        <v>#REF!</v>
      </c>
      <c r="J23" s="78"/>
      <c r="K23" s="78"/>
      <c r="L23" s="78"/>
      <c r="M23" s="78"/>
      <c r="N23" s="78"/>
      <c r="O23" s="78"/>
      <c r="P23" s="78"/>
      <c r="Q23" s="78"/>
      <c r="R23" s="78"/>
    </row>
    <row r="24" spans="1:18" x14ac:dyDescent="0.2">
      <c r="A24" s="82" t="s">
        <v>3</v>
      </c>
      <c r="B24" s="80"/>
      <c r="C24" s="80"/>
      <c r="D24" s="81"/>
      <c r="E24" s="78" t="e">
        <f ca="1">IF(E20&gt;TODAY(), #N/A, SUM($E23:E23))</f>
        <v>#REF!</v>
      </c>
      <c r="F24" s="78" t="e">
        <f ca="1">IF(F20&gt;TODAY(), #N/A, SUM($E23:F23))</f>
        <v>#REF!</v>
      </c>
      <c r="G24" s="78" t="e">
        <f ca="1">IF(G20&gt;TODAY(), #N/A, SUM($E23:G23))</f>
        <v>#REF!</v>
      </c>
      <c r="H24" s="78" t="e">
        <f ca="1">IF(H20&gt;TODAY(), #N/A, SUM($E23:H23))</f>
        <v>#REF!</v>
      </c>
      <c r="I24" s="78" t="e">
        <f ca="1">IF(I20&gt;TODAY(), #N/A, SUM($E23:I23))</f>
        <v>#REF!</v>
      </c>
      <c r="J24" s="78"/>
      <c r="K24" s="78"/>
      <c r="L24" s="78"/>
      <c r="M24" s="78"/>
      <c r="N24" s="78"/>
      <c r="O24" s="78"/>
      <c r="P24" s="78"/>
      <c r="Q24" s="78"/>
      <c r="R24" s="78"/>
    </row>
    <row r="25" spans="1:18" x14ac:dyDescent="0.2">
      <c r="A25" s="82" t="s">
        <v>22</v>
      </c>
      <c r="B25" s="80"/>
      <c r="C25" s="80"/>
      <c r="D25" s="81"/>
      <c r="E25" s="78" t="e">
        <f t="shared" ref="E25:R25" ca="1" si="3">IF(E20&gt;TODAY(), #N/A, E22+E24)</f>
        <v>#REF!</v>
      </c>
      <c r="F25" s="78" t="e">
        <f t="shared" ca="1" si="3"/>
        <v>#REF!</v>
      </c>
      <c r="G25" s="78" t="e">
        <f t="shared" ca="1" si="3"/>
        <v>#REF!</v>
      </c>
      <c r="H25" s="78" t="e">
        <f t="shared" ca="1" si="3"/>
        <v>#REF!</v>
      </c>
      <c r="I25" s="78" t="e">
        <f t="shared" ca="1" si="3"/>
        <v>#REF!</v>
      </c>
      <c r="J25" s="78"/>
      <c r="K25" s="78"/>
      <c r="L25" s="78"/>
      <c r="M25" s="78"/>
      <c r="N25" s="78"/>
      <c r="O25" s="78"/>
      <c r="P25" s="78"/>
      <c r="Q25" s="78"/>
      <c r="R25" s="78"/>
    </row>
    <row r="26" spans="1:18" x14ac:dyDescent="0.2">
      <c r="A26" s="82"/>
      <c r="B26" s="80"/>
      <c r="C26" s="80"/>
      <c r="D26" s="81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</row>
    <row r="27" spans="1:18" x14ac:dyDescent="0.2">
      <c r="A27" s="75" t="s">
        <v>4</v>
      </c>
      <c r="B27" s="80"/>
      <c r="C27" s="77"/>
      <c r="D27" s="81"/>
      <c r="E27" s="83" t="e">
        <f t="shared" ref="E27:R27" ca="1" si="4">IF(E20&gt;TODAY(), #N/A, E24/E19)</f>
        <v>#REF!</v>
      </c>
      <c r="F27" s="83" t="e">
        <f t="shared" ca="1" si="4"/>
        <v>#REF!</v>
      </c>
      <c r="G27" s="83" t="e">
        <f t="shared" ca="1" si="4"/>
        <v>#REF!</v>
      </c>
      <c r="H27" s="83" t="e">
        <f t="shared" ca="1" si="4"/>
        <v>#REF!</v>
      </c>
      <c r="I27" s="83" t="e">
        <f t="shared" ca="1" si="4"/>
        <v>#REF!</v>
      </c>
      <c r="J27" s="83"/>
      <c r="K27" s="83"/>
      <c r="L27" s="83"/>
      <c r="M27" s="83"/>
      <c r="N27" s="83"/>
      <c r="O27" s="83"/>
      <c r="P27" s="83"/>
      <c r="Q27" s="83"/>
      <c r="R27" s="83"/>
    </row>
    <row r="28" spans="1:18" x14ac:dyDescent="0.2">
      <c r="A28" s="82" t="s">
        <v>5</v>
      </c>
      <c r="B28" s="80"/>
      <c r="C28" s="80"/>
      <c r="D28" s="81"/>
      <c r="E28" s="84" t="e">
        <f t="shared" ref="E28:R28" ca="1" si="5">IF(E20&gt;TODAY(), #N/A, IF(E27=0, SprintStart, E20 + (E22/E27)))</f>
        <v>#REF!</v>
      </c>
      <c r="F28" s="84" t="e">
        <f t="shared" ca="1" si="5"/>
        <v>#REF!</v>
      </c>
      <c r="G28" s="84" t="e">
        <f t="shared" ca="1" si="5"/>
        <v>#REF!</v>
      </c>
      <c r="H28" s="84" t="e">
        <f t="shared" ca="1" si="5"/>
        <v>#REF!</v>
      </c>
      <c r="I28" s="84" t="e">
        <f t="shared" ca="1" si="5"/>
        <v>#REF!</v>
      </c>
      <c r="J28" s="84"/>
      <c r="K28" s="84"/>
      <c r="L28" s="84"/>
      <c r="M28" s="84"/>
      <c r="N28" s="84"/>
      <c r="O28" s="84"/>
      <c r="P28" s="84"/>
      <c r="Q28" s="84"/>
      <c r="R28" s="84"/>
    </row>
    <row r="29" spans="1:18" x14ac:dyDescent="0.2">
      <c r="A29" s="82" t="s">
        <v>31</v>
      </c>
      <c r="B29" s="80"/>
      <c r="C29" s="80"/>
      <c r="D29" s="81"/>
      <c r="E29" s="84" t="e">
        <f t="shared" ref="E29:R29" ca="1" si="6">IF(E$20&gt;TODAY(), #N/A, IF(E$33&gt;0, SprintStart+((E$25*E$19)/E$33)-1, SprintStart))</f>
        <v>#REF!</v>
      </c>
      <c r="F29" s="84" t="e">
        <f t="shared" ca="1" si="6"/>
        <v>#REF!</v>
      </c>
      <c r="G29" s="84" t="e">
        <f t="shared" ca="1" si="6"/>
        <v>#REF!</v>
      </c>
      <c r="H29" s="84" t="e">
        <f t="shared" ca="1" si="6"/>
        <v>#REF!</v>
      </c>
      <c r="I29" s="84" t="e">
        <f t="shared" ca="1" si="6"/>
        <v>#REF!</v>
      </c>
      <c r="J29" s="84"/>
      <c r="K29" s="84"/>
      <c r="L29" s="84"/>
      <c r="M29" s="84"/>
      <c r="N29" s="84"/>
      <c r="O29" s="84"/>
      <c r="P29" s="84"/>
      <c r="Q29" s="84"/>
      <c r="R29" s="84"/>
    </row>
    <row r="30" spans="1:18" x14ac:dyDescent="0.2">
      <c r="A30" s="82"/>
      <c r="B30" s="80"/>
      <c r="C30" s="80"/>
      <c r="D30" s="81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</row>
    <row r="31" spans="1:18" x14ac:dyDescent="0.2">
      <c r="A31" s="82" t="s">
        <v>27</v>
      </c>
      <c r="B31" s="80"/>
      <c r="C31" s="80"/>
      <c r="D31" s="81"/>
      <c r="E31" s="80" t="e">
        <f t="shared" ref="E31:R31" ca="1" si="7">IF(E$20&gt;TODAY(), #N/A, SUMIF(INDEX(Burndown,,(E$19-1)*BurndownColumns+StatusColumn), "=Pending",INDEX(Burndown,,(E$19-1)*BurndownColumns+HoursLeftColumn)))</f>
        <v>#REF!</v>
      </c>
      <c r="F31" s="80" t="e">
        <f t="shared" ca="1" si="7"/>
        <v>#REF!</v>
      </c>
      <c r="G31" s="80" t="e">
        <f t="shared" ca="1" si="7"/>
        <v>#REF!</v>
      </c>
      <c r="H31" s="80" t="e">
        <f t="shared" ca="1" si="7"/>
        <v>#REF!</v>
      </c>
      <c r="I31" s="80" t="e">
        <f t="shared" ca="1" si="7"/>
        <v>#REF!</v>
      </c>
      <c r="J31" s="80"/>
      <c r="K31" s="80"/>
      <c r="L31" s="80"/>
      <c r="M31" s="80"/>
      <c r="N31" s="80"/>
      <c r="O31" s="80"/>
      <c r="P31" s="80"/>
      <c r="Q31" s="80"/>
      <c r="R31" s="80"/>
    </row>
    <row r="32" spans="1:18" x14ac:dyDescent="0.2">
      <c r="A32" s="82" t="s">
        <v>28</v>
      </c>
      <c r="B32" s="80"/>
      <c r="C32" s="80"/>
      <c r="D32" s="81"/>
      <c r="E32" s="85" t="e">
        <f t="shared" ref="E32:R32" ca="1" si="8">E$22-E$31+E$24-E$33</f>
        <v>#REF!</v>
      </c>
      <c r="F32" s="85" t="e">
        <f t="shared" ca="1" si="8"/>
        <v>#REF!</v>
      </c>
      <c r="G32" s="85" t="e">
        <f t="shared" ca="1" si="8"/>
        <v>#REF!</v>
      </c>
      <c r="H32" s="85" t="e">
        <f t="shared" ca="1" si="8"/>
        <v>#REF!</v>
      </c>
      <c r="I32" s="85" t="e">
        <f t="shared" ca="1" si="8"/>
        <v>#REF!</v>
      </c>
      <c r="J32" s="85"/>
      <c r="K32" s="85"/>
      <c r="L32" s="85"/>
      <c r="M32" s="85"/>
      <c r="N32" s="85"/>
      <c r="O32" s="85"/>
      <c r="P32" s="85"/>
      <c r="Q32" s="85"/>
      <c r="R32" s="85"/>
    </row>
    <row r="33" spans="1:34" x14ac:dyDescent="0.2">
      <c r="A33" s="82" t="s">
        <v>29</v>
      </c>
      <c r="B33" s="80"/>
      <c r="C33" s="80"/>
      <c r="D33" s="81"/>
      <c r="E33" s="80" t="e">
        <f t="shared" ref="E33:R33" ca="1" si="9">IF(E$20&gt;TODAY(), #N/A, SUMIF(INDEX(Burndown,,(E$19-1)*BurndownColumns+StatusColumn), "=Complete",TotalEffort))</f>
        <v>#REF!</v>
      </c>
      <c r="F33" s="80" t="e">
        <f t="shared" ca="1" si="9"/>
        <v>#REF!</v>
      </c>
      <c r="G33" s="80" t="e">
        <f t="shared" ca="1" si="9"/>
        <v>#REF!</v>
      </c>
      <c r="H33" s="80" t="e">
        <f t="shared" ca="1" si="9"/>
        <v>#REF!</v>
      </c>
      <c r="I33" s="80" t="e">
        <f t="shared" ca="1" si="9"/>
        <v>#REF!</v>
      </c>
      <c r="J33" s="80"/>
      <c r="K33" s="80"/>
      <c r="L33" s="80"/>
      <c r="M33" s="80"/>
      <c r="N33" s="80"/>
      <c r="O33" s="80"/>
      <c r="P33" s="80"/>
      <c r="Q33" s="80"/>
      <c r="R33" s="80"/>
    </row>
    <row r="34" spans="1:34" x14ac:dyDescent="0.2">
      <c r="A34" s="82"/>
      <c r="B34" s="80"/>
      <c r="C34" s="80"/>
      <c r="D34" s="81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</row>
    <row r="35" spans="1:34" x14ac:dyDescent="0.2">
      <c r="A35" s="82" t="s">
        <v>10</v>
      </c>
      <c r="B35" s="80"/>
      <c r="C35" s="80"/>
      <c r="D35" s="81"/>
      <c r="E35" s="80" t="e">
        <f t="shared" ref="E35:R35" ca="1" si="10">IF(E20&gt;TODAY(), #N/A, COUNTIF(INDEX(Burndown,,(E19-1)*BurndownColumns+StatusColumn), "=Pending"))</f>
        <v>#REF!</v>
      </c>
      <c r="F35" s="80" t="e">
        <f t="shared" ca="1" si="10"/>
        <v>#REF!</v>
      </c>
      <c r="G35" s="80" t="e">
        <f t="shared" ca="1" si="10"/>
        <v>#REF!</v>
      </c>
      <c r="H35" s="80" t="e">
        <f t="shared" ca="1" si="10"/>
        <v>#REF!</v>
      </c>
      <c r="I35" s="80" t="e">
        <f t="shared" ca="1" si="10"/>
        <v>#REF!</v>
      </c>
      <c r="J35" s="80"/>
      <c r="K35" s="80"/>
      <c r="L35" s="80"/>
      <c r="M35" s="80"/>
      <c r="N35" s="80"/>
      <c r="O35" s="80"/>
      <c r="P35" s="80"/>
      <c r="Q35" s="80"/>
      <c r="R35" s="80"/>
    </row>
    <row r="36" spans="1:34" x14ac:dyDescent="0.2">
      <c r="A36" s="82" t="s">
        <v>6</v>
      </c>
      <c r="B36" s="80"/>
      <c r="C36" s="80"/>
      <c r="D36" s="81"/>
      <c r="E36" s="80" t="e">
        <f t="shared" ref="E36:R36" ca="1" si="11">IF(E20&gt;TODAY(), #N/A, COUNTIF(INDEX(Burndown,,(E19-1)*BurndownColumns+StatusColumn), "=In Progress"))</f>
        <v>#REF!</v>
      </c>
      <c r="F36" s="80" t="e">
        <f t="shared" ca="1" si="11"/>
        <v>#REF!</v>
      </c>
      <c r="G36" s="80" t="e">
        <f t="shared" ca="1" si="11"/>
        <v>#REF!</v>
      </c>
      <c r="H36" s="80" t="e">
        <f t="shared" ca="1" si="11"/>
        <v>#REF!</v>
      </c>
      <c r="I36" s="80" t="e">
        <f t="shared" ca="1" si="11"/>
        <v>#REF!</v>
      </c>
      <c r="J36" s="80"/>
      <c r="K36" s="80"/>
      <c r="L36" s="80"/>
      <c r="M36" s="80"/>
      <c r="N36" s="80"/>
      <c r="O36" s="80"/>
      <c r="P36" s="80"/>
      <c r="Q36" s="80"/>
      <c r="R36" s="80"/>
    </row>
    <row r="37" spans="1:34" x14ac:dyDescent="0.2">
      <c r="A37" s="82" t="s">
        <v>7</v>
      </c>
      <c r="B37" s="80"/>
      <c r="C37" s="80"/>
      <c r="D37" s="81"/>
      <c r="E37" s="80" t="e">
        <f t="shared" ref="E37:R37" ca="1" si="12">IF(E20&gt;TODAY(), #N/A, COUNTIF(INDEX(Burndown,,(E19-1)*BurndownColumns+StatusColumn), "=Complete"))</f>
        <v>#REF!</v>
      </c>
      <c r="F37" s="80" t="e">
        <f t="shared" ca="1" si="12"/>
        <v>#REF!</v>
      </c>
      <c r="G37" s="80" t="e">
        <f t="shared" ca="1" si="12"/>
        <v>#REF!</v>
      </c>
      <c r="H37" s="80" t="e">
        <f t="shared" ca="1" si="12"/>
        <v>#REF!</v>
      </c>
      <c r="I37" s="80" t="e">
        <f t="shared" ca="1" si="12"/>
        <v>#REF!</v>
      </c>
      <c r="J37" s="80"/>
      <c r="K37" s="80"/>
      <c r="L37" s="80"/>
      <c r="M37" s="80"/>
      <c r="N37" s="80"/>
      <c r="O37" s="80"/>
      <c r="P37" s="80"/>
      <c r="Q37" s="80"/>
      <c r="R37" s="80"/>
    </row>
    <row r="38" spans="1:34" x14ac:dyDescent="0.2">
      <c r="A38" s="65"/>
      <c r="B38" s="65"/>
      <c r="C38" s="65"/>
      <c r="D38" s="65"/>
      <c r="E38" s="65"/>
      <c r="F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</row>
    <row r="39" spans="1:34" x14ac:dyDescent="0.2">
      <c r="A39" s="82" t="s">
        <v>25</v>
      </c>
      <c r="B39" s="80"/>
      <c r="C39" s="80"/>
      <c r="D39" s="80"/>
      <c r="E39" s="77"/>
      <c r="F39" s="80"/>
      <c r="G39" s="82" t="s">
        <v>24</v>
      </c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</row>
    <row r="40" spans="1:34" ht="13.5" customHeight="1" x14ac:dyDescent="0.2">
      <c r="A40" s="82"/>
      <c r="B40" s="80" t="s">
        <v>26</v>
      </c>
      <c r="C40" s="80"/>
      <c r="D40" s="80"/>
      <c r="E40" s="80">
        <v>0</v>
      </c>
      <c r="F40" s="80"/>
      <c r="G40" s="80" t="s">
        <v>56</v>
      </c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</row>
    <row r="41" spans="1:34" ht="13.5" customHeight="1" x14ac:dyDescent="0.2">
      <c r="A41" s="82"/>
      <c r="B41" s="80" t="s">
        <v>57</v>
      </c>
      <c r="C41" s="80"/>
      <c r="D41" s="80"/>
      <c r="E41" s="80">
        <v>0</v>
      </c>
      <c r="F41" s="80"/>
      <c r="G41" s="80" t="s">
        <v>58</v>
      </c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</row>
    <row r="42" spans="1:34" x14ac:dyDescent="0.2">
      <c r="A42" s="82"/>
      <c r="B42" s="80"/>
      <c r="C42" s="80"/>
      <c r="D42" s="80"/>
      <c r="E42" s="77"/>
      <c r="F42" s="80"/>
      <c r="G42" s="86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</row>
    <row r="43" spans="1:34" x14ac:dyDescent="0.2">
      <c r="A43" s="82" t="s">
        <v>17</v>
      </c>
      <c r="B43" s="80"/>
      <c r="C43" s="80"/>
      <c r="D43" s="80"/>
      <c r="E43" s="77"/>
      <c r="F43" s="80"/>
      <c r="G43" s="80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</row>
    <row r="44" spans="1:34" x14ac:dyDescent="0.2">
      <c r="A44" s="80"/>
      <c r="B44" s="80" t="s">
        <v>15</v>
      </c>
      <c r="C44" s="80"/>
      <c r="D44" s="80"/>
      <c r="E44" s="80">
        <v>3</v>
      </c>
      <c r="F44" s="80"/>
      <c r="G44" s="80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</row>
    <row r="45" spans="1:34" x14ac:dyDescent="0.2">
      <c r="A45" s="80"/>
      <c r="B45" s="80" t="s">
        <v>19</v>
      </c>
      <c r="C45" s="80"/>
      <c r="D45" s="80"/>
      <c r="E45" s="80">
        <v>1</v>
      </c>
      <c r="F45" s="80"/>
      <c r="G45" s="86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</row>
    <row r="46" spans="1:34" x14ac:dyDescent="0.2">
      <c r="A46" s="80"/>
      <c r="B46" s="80" t="s">
        <v>18</v>
      </c>
      <c r="C46" s="80"/>
      <c r="D46" s="80"/>
      <c r="E46" s="80">
        <v>2</v>
      </c>
      <c r="F46" s="86"/>
      <c r="G46" s="86"/>
    </row>
    <row r="47" spans="1:34" x14ac:dyDescent="0.2">
      <c r="A47" s="80"/>
      <c r="B47" s="80" t="s">
        <v>16</v>
      </c>
      <c r="C47" s="80"/>
      <c r="D47" s="80"/>
      <c r="E47" s="80">
        <v>3</v>
      </c>
      <c r="F47" s="86"/>
      <c r="G47" s="86"/>
    </row>
    <row r="48" spans="1:34" x14ac:dyDescent="0.2">
      <c r="A48" s="65"/>
      <c r="C48" s="65"/>
      <c r="D48" s="65"/>
    </row>
    <row r="49" spans="1:1" x14ac:dyDescent="0.2">
      <c r="A49" s="66"/>
    </row>
    <row r="50" spans="1:1" x14ac:dyDescent="0.2">
      <c r="A50" s="65"/>
    </row>
    <row r="51" spans="1:1" x14ac:dyDescent="0.2">
      <c r="A51" s="65"/>
    </row>
  </sheetData>
  <phoneticPr fontId="2" type="noConversion"/>
  <conditionalFormatting sqref="D19:R21">
    <cfRule type="expression" dxfId="0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tabSelected="1" workbookViewId="0">
      <selection activeCell="C9" sqref="C9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44" t="s">
        <v>35</v>
      </c>
    </row>
    <row r="5" spans="2:8" ht="13.5" thickBot="1" x14ac:dyDescent="0.25"/>
    <row r="6" spans="2:8" ht="14.25" thickTop="1" thickBot="1" x14ac:dyDescent="0.25">
      <c r="B6" s="44" t="s">
        <v>32</v>
      </c>
      <c r="C6" s="45" t="s">
        <v>67</v>
      </c>
      <c r="D6" s="46" t="s">
        <v>60</v>
      </c>
      <c r="E6" s="47" t="s">
        <v>66</v>
      </c>
      <c r="F6" s="48" t="s">
        <v>65</v>
      </c>
      <c r="G6" s="48" t="s">
        <v>69</v>
      </c>
      <c r="H6" s="49" t="s">
        <v>68</v>
      </c>
    </row>
    <row r="7" spans="2:8" ht="13.5" thickTop="1" x14ac:dyDescent="0.2">
      <c r="C7" s="50"/>
      <c r="D7" s="51" t="s">
        <v>34</v>
      </c>
      <c r="E7" s="52"/>
      <c r="F7" s="53"/>
      <c r="G7" s="53"/>
      <c r="H7" s="54"/>
    </row>
    <row r="8" spans="2:8" x14ac:dyDescent="0.2">
      <c r="C8" s="55" t="s">
        <v>109</v>
      </c>
      <c r="D8" s="56" t="s">
        <v>75</v>
      </c>
      <c r="E8" s="56" t="s">
        <v>63</v>
      </c>
      <c r="F8" s="57" t="s">
        <v>64</v>
      </c>
      <c r="G8" s="56" t="s">
        <v>70</v>
      </c>
      <c r="H8" s="56" t="s">
        <v>61</v>
      </c>
    </row>
    <row r="9" spans="2:8" x14ac:dyDescent="0.2">
      <c r="C9" s="55" t="s">
        <v>110</v>
      </c>
      <c r="D9" s="56" t="s">
        <v>75</v>
      </c>
      <c r="E9" s="56" t="s">
        <v>63</v>
      </c>
      <c r="F9" s="57" t="s">
        <v>64</v>
      </c>
      <c r="G9" s="56" t="s">
        <v>70</v>
      </c>
      <c r="H9" s="56" t="s">
        <v>61</v>
      </c>
    </row>
    <row r="10" spans="2:8" ht="11.25" customHeight="1" x14ac:dyDescent="0.2">
      <c r="C10" s="55" t="s">
        <v>67</v>
      </c>
      <c r="D10" s="56" t="s">
        <v>75</v>
      </c>
      <c r="E10" s="56" t="s">
        <v>63</v>
      </c>
      <c r="F10" s="57" t="s">
        <v>64</v>
      </c>
      <c r="G10" s="56" t="s">
        <v>70</v>
      </c>
      <c r="H10" s="56" t="s">
        <v>61</v>
      </c>
    </row>
    <row r="11" spans="2:8" x14ac:dyDescent="0.2">
      <c r="C11" s="55" t="s">
        <v>67</v>
      </c>
      <c r="D11" s="56" t="s">
        <v>75</v>
      </c>
      <c r="E11" s="56" t="s">
        <v>63</v>
      </c>
      <c r="F11" s="57" t="s">
        <v>64</v>
      </c>
      <c r="G11" s="56" t="s">
        <v>70</v>
      </c>
      <c r="H11" s="56" t="s">
        <v>61</v>
      </c>
    </row>
    <row r="12" spans="2:8" x14ac:dyDescent="0.2">
      <c r="C12" s="55" t="s">
        <v>67</v>
      </c>
      <c r="D12" s="56" t="s">
        <v>75</v>
      </c>
      <c r="E12" s="56" t="s">
        <v>63</v>
      </c>
      <c r="F12" s="57" t="s">
        <v>64</v>
      </c>
      <c r="G12" s="56" t="s">
        <v>70</v>
      </c>
      <c r="H12" s="56" t="s">
        <v>61</v>
      </c>
    </row>
    <row r="13" spans="2:8" x14ac:dyDescent="0.2">
      <c r="C13" s="55" t="s">
        <v>67</v>
      </c>
      <c r="D13" s="56" t="s">
        <v>75</v>
      </c>
      <c r="E13" s="56" t="s">
        <v>63</v>
      </c>
      <c r="F13" s="57" t="s">
        <v>64</v>
      </c>
      <c r="G13" s="56" t="s">
        <v>70</v>
      </c>
      <c r="H13" s="56" t="s">
        <v>61</v>
      </c>
    </row>
    <row r="14" spans="2:8" x14ac:dyDescent="0.2">
      <c r="C14" s="55" t="s">
        <v>67</v>
      </c>
      <c r="D14" s="56" t="s">
        <v>75</v>
      </c>
      <c r="E14" s="56" t="s">
        <v>63</v>
      </c>
      <c r="F14" s="57" t="s">
        <v>64</v>
      </c>
      <c r="G14" s="56" t="s">
        <v>70</v>
      </c>
      <c r="H14" s="56" t="s">
        <v>61</v>
      </c>
    </row>
    <row r="15" spans="2:8" x14ac:dyDescent="0.2">
      <c r="C15" s="55" t="s">
        <v>76</v>
      </c>
      <c r="D15" s="56" t="s">
        <v>76</v>
      </c>
      <c r="E15" s="56"/>
      <c r="F15" s="57"/>
      <c r="G15" s="56"/>
      <c r="H15" s="56"/>
    </row>
    <row r="16" spans="2:8" x14ac:dyDescent="0.2">
      <c r="C16" s="55"/>
      <c r="D16" s="56"/>
      <c r="E16" s="56"/>
      <c r="F16" s="57"/>
      <c r="G16" s="56"/>
      <c r="H16" s="56"/>
    </row>
    <row r="17" spans="3:8" x14ac:dyDescent="0.2">
      <c r="C17" s="55"/>
      <c r="D17" s="56"/>
      <c r="E17" s="56"/>
      <c r="F17" s="57"/>
      <c r="G17" s="56"/>
      <c r="H17" s="56"/>
    </row>
    <row r="18" spans="3:8" x14ac:dyDescent="0.2">
      <c r="C18" s="55"/>
      <c r="D18" s="56"/>
      <c r="E18" s="56"/>
      <c r="F18" s="57"/>
      <c r="G18" s="56"/>
      <c r="H18" s="56"/>
    </row>
    <row r="19" spans="3:8" x14ac:dyDescent="0.2">
      <c r="C19" s="55"/>
      <c r="D19" s="56"/>
      <c r="E19" s="56"/>
      <c r="F19" s="57"/>
      <c r="G19" s="56"/>
      <c r="H19" s="56"/>
    </row>
    <row r="20" spans="3:8" x14ac:dyDescent="0.2">
      <c r="C20" s="55"/>
      <c r="D20" s="56"/>
      <c r="E20" s="56"/>
      <c r="F20" s="57"/>
      <c r="G20" s="56"/>
      <c r="H20" s="56"/>
    </row>
    <row r="21" spans="3:8" x14ac:dyDescent="0.2">
      <c r="C21" s="55"/>
      <c r="D21" s="56"/>
      <c r="E21" s="56"/>
      <c r="F21" s="57"/>
      <c r="G21" s="56"/>
      <c r="H21" s="56"/>
    </row>
    <row r="22" spans="3:8" x14ac:dyDescent="0.2">
      <c r="C22" s="55"/>
      <c r="D22" s="56"/>
      <c r="E22" s="56"/>
      <c r="F22" s="57"/>
      <c r="G22" s="56"/>
      <c r="H22" s="56"/>
    </row>
    <row r="23" spans="3:8" x14ac:dyDescent="0.2">
      <c r="C23" s="55"/>
      <c r="D23" s="56"/>
      <c r="E23" s="56"/>
      <c r="F23" s="57"/>
      <c r="G23" s="56"/>
      <c r="H23" s="56"/>
    </row>
    <row r="24" spans="3:8" x14ac:dyDescent="0.2">
      <c r="C24" s="55"/>
      <c r="D24" s="56"/>
      <c r="E24" s="56"/>
      <c r="F24" s="57"/>
      <c r="G24" s="56"/>
      <c r="H24" s="56"/>
    </row>
    <row r="25" spans="3:8" ht="13.5" thickBot="1" x14ac:dyDescent="0.25">
      <c r="C25" s="58"/>
      <c r="D25" s="59"/>
      <c r="E25" s="59"/>
      <c r="F25" s="60"/>
      <c r="G25" s="61"/>
      <c r="H25" s="62"/>
    </row>
    <row r="26" spans="3:8" ht="13.5" thickTop="1" x14ac:dyDescent="0.2"/>
    <row r="41" spans="7:9" x14ac:dyDescent="0.2">
      <c r="G41" s="44"/>
      <c r="I41" s="63"/>
    </row>
    <row r="43" spans="7:9" x14ac:dyDescent="0.2">
      <c r="G43" s="44"/>
      <c r="H43" s="63"/>
      <c r="I43" s="63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Sprint</vt:lpstr>
      <vt:lpstr>Analysis</vt:lpstr>
      <vt:lpstr>Team Roster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Analysis!StatusColumn</vt:lpstr>
      <vt:lpstr>StatusColumn</vt:lpstr>
      <vt:lpstr>Analysis!StatusTypes</vt:lpstr>
      <vt:lpstr>StatusTypes</vt:lpstr>
      <vt:lpstr>Analysis!TotalEffort</vt:lpstr>
      <vt:lpstr>TotalEffort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Stefania</dc:creator>
  <cp:lastModifiedBy>LachlanDow</cp:lastModifiedBy>
  <cp:revision>1</cp:revision>
  <cp:lastPrinted>2005-08-15T09:18:22Z</cp:lastPrinted>
  <dcterms:created xsi:type="dcterms:W3CDTF">2005-01-26T21:50:47Z</dcterms:created>
  <dcterms:modified xsi:type="dcterms:W3CDTF">2020-01-30T13:31:14Z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866ae1de-7662-484c-83e5-511d0e565350</vt:lpwstr>
  </property>
</Properties>
</file>